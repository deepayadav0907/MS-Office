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AB067C8-477D-44C4-BD4B-665CB66D8963}" xr6:coauthVersionLast="47" xr6:coauthVersionMax="47" xr10:uidLastSave="{00000000-0000-0000-0000-000000000000}"/>
  <bookViews>
    <workbookView xWindow="-120" yWindow="-120" windowWidth="29040" windowHeight="15720" xr2:uid="{987414ED-62FC-4656-82BE-5B04C471E198}"/>
  </bookViews>
  <sheets>
    <sheet name="Sheet2" sheetId="2" r:id="rId1"/>
    <sheet name="Sheet1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K2" i="1" s="1"/>
  <c r="I3" i="1"/>
  <c r="J3" i="1" s="1"/>
  <c r="L3" i="1" s="1"/>
  <c r="I4" i="1"/>
  <c r="J4" i="1" s="1"/>
  <c r="L4" i="1" s="1"/>
  <c r="I5" i="1"/>
  <c r="J5" i="1" s="1"/>
  <c r="L5" i="1" s="1"/>
  <c r="I6" i="1"/>
  <c r="J6" i="1" s="1"/>
  <c r="L6" i="1" s="1"/>
  <c r="I7" i="1"/>
  <c r="K7" i="1" s="1"/>
  <c r="I8" i="1"/>
  <c r="K8" i="1" s="1"/>
  <c r="I9" i="1"/>
  <c r="K9" i="1" s="1"/>
  <c r="I10" i="1"/>
  <c r="J10" i="1" s="1"/>
  <c r="L10" i="1" s="1"/>
  <c r="I11" i="1"/>
  <c r="J11" i="1" s="1"/>
  <c r="L11" i="1" s="1"/>
  <c r="I12" i="1"/>
  <c r="J12" i="1" s="1"/>
  <c r="L12" i="1" s="1"/>
  <c r="I13" i="1"/>
  <c r="K13" i="1" s="1"/>
  <c r="I14" i="1"/>
  <c r="K14" i="1" s="1"/>
  <c r="I15" i="1"/>
  <c r="J15" i="1" s="1"/>
  <c r="L15" i="1" s="1"/>
  <c r="I16" i="1"/>
  <c r="J16" i="1" s="1"/>
  <c r="L16" i="1" s="1"/>
  <c r="I17" i="1"/>
  <c r="J17" i="1" s="1"/>
  <c r="L17" i="1" s="1"/>
  <c r="I18" i="1"/>
  <c r="J18" i="1" s="1"/>
  <c r="L18" i="1" s="1"/>
  <c r="I19" i="1"/>
  <c r="J19" i="1" s="1"/>
  <c r="L19" i="1" s="1"/>
  <c r="I20" i="1"/>
  <c r="K20" i="1" s="1"/>
  <c r="I21" i="1"/>
  <c r="K21" i="1" s="1"/>
  <c r="I22" i="1"/>
  <c r="K22" i="1" s="1"/>
  <c r="I23" i="1"/>
  <c r="J23" i="1" s="1"/>
  <c r="L23" i="1" s="1"/>
  <c r="I24" i="1"/>
  <c r="J24" i="1" s="1"/>
  <c r="L24" i="1" s="1"/>
  <c r="I25" i="1"/>
  <c r="J25" i="1" s="1"/>
  <c r="L25" i="1" s="1"/>
  <c r="I26" i="1"/>
  <c r="J26" i="1" s="1"/>
  <c r="L26" i="1" s="1"/>
  <c r="I27" i="1"/>
  <c r="J27" i="1" s="1"/>
  <c r="L27" i="1" s="1"/>
  <c r="I28" i="1"/>
  <c r="J28" i="1" s="1"/>
  <c r="L28" i="1" s="1"/>
  <c r="I29" i="1"/>
  <c r="J29" i="1" s="1"/>
  <c r="L29" i="1" s="1"/>
  <c r="I30" i="1"/>
  <c r="J30" i="1" s="1"/>
  <c r="L30" i="1" s="1"/>
  <c r="I31" i="1"/>
  <c r="K31" i="1" s="1"/>
  <c r="J13" i="1" l="1"/>
  <c r="L13" i="1" s="1"/>
  <c r="J14" i="1"/>
  <c r="L14" i="1" s="1"/>
  <c r="K30" i="1"/>
  <c r="K29" i="1"/>
  <c r="K28" i="1"/>
  <c r="K27" i="1"/>
  <c r="K26" i="1"/>
  <c r="K25" i="1"/>
  <c r="K24" i="1"/>
  <c r="K23" i="1"/>
  <c r="K11" i="1"/>
  <c r="J7" i="1"/>
  <c r="L7" i="1" s="1"/>
  <c r="J8" i="1"/>
  <c r="L8" i="1" s="1"/>
  <c r="J9" i="1"/>
  <c r="L9" i="1" s="1"/>
  <c r="K3" i="1"/>
  <c r="J31" i="1"/>
  <c r="L31" i="1" s="1"/>
  <c r="K12" i="1"/>
  <c r="K10" i="1"/>
  <c r="K6" i="1"/>
  <c r="K5" i="1"/>
  <c r="K4" i="1"/>
  <c r="J20" i="1"/>
  <c r="L20" i="1" s="1"/>
  <c r="K19" i="1"/>
  <c r="J21" i="1"/>
  <c r="K18" i="1"/>
  <c r="J22" i="1"/>
  <c r="L22" i="1" s="1"/>
  <c r="K17" i="1"/>
  <c r="K16" i="1"/>
  <c r="K15" i="1"/>
  <c r="J2" i="1"/>
  <c r="P9" i="1" l="1"/>
  <c r="P10" i="1"/>
  <c r="P8" i="1"/>
  <c r="L21" i="1"/>
  <c r="L2" i="1"/>
  <c r="P11" i="1" l="1"/>
  <c r="P12" i="1"/>
</calcChain>
</file>

<file path=xl/sharedStrings.xml><?xml version="1.0" encoding="utf-8"?>
<sst xmlns="http://schemas.openxmlformats.org/spreadsheetml/2006/main" count="125" uniqueCount="67">
  <si>
    <t>Roll.No.</t>
  </si>
  <si>
    <t>Student Name</t>
  </si>
  <si>
    <t>Trade</t>
  </si>
  <si>
    <t>Gender</t>
  </si>
  <si>
    <t>Attendence</t>
  </si>
  <si>
    <t>Internal Marks</t>
  </si>
  <si>
    <t>Practical Marks</t>
  </si>
  <si>
    <t>Theory Marks</t>
  </si>
  <si>
    <t>Aarav</t>
  </si>
  <si>
    <t>Anaya</t>
  </si>
  <si>
    <t>Rahul</t>
  </si>
  <si>
    <t>Priya</t>
  </si>
  <si>
    <t>Aditya</t>
  </si>
  <si>
    <t>Neha</t>
  </si>
  <si>
    <t>Rohit</t>
  </si>
  <si>
    <t>Sneha</t>
  </si>
  <si>
    <t>Aman</t>
  </si>
  <si>
    <t>Pooja</t>
  </si>
  <si>
    <t>Vivek</t>
  </si>
  <si>
    <t>Riya</t>
  </si>
  <si>
    <t>Karan</t>
  </si>
  <si>
    <t>Simran</t>
  </si>
  <si>
    <t>Ankit</t>
  </si>
  <si>
    <t>Nisha Varma</t>
  </si>
  <si>
    <t>Saurabh</t>
  </si>
  <si>
    <t>Kajal</t>
  </si>
  <si>
    <t>Mohit</t>
  </si>
  <si>
    <t>Muskan</t>
  </si>
  <si>
    <t>Abhishek</t>
  </si>
  <si>
    <t>Shreya</t>
  </si>
  <si>
    <t>Deepa</t>
  </si>
  <si>
    <t>Nikita</t>
  </si>
  <si>
    <t>Nitin</t>
  </si>
  <si>
    <t>Ayansh</t>
  </si>
  <si>
    <t>Manish</t>
  </si>
  <si>
    <t>Komal</t>
  </si>
  <si>
    <t>Yash</t>
  </si>
  <si>
    <t>Divya</t>
  </si>
  <si>
    <t>M</t>
  </si>
  <si>
    <t>F</t>
  </si>
  <si>
    <t xml:space="preserve">M </t>
  </si>
  <si>
    <t>AIPA</t>
  </si>
  <si>
    <t>COPA</t>
  </si>
  <si>
    <t>Electronics</t>
  </si>
  <si>
    <t>Fitter</t>
  </si>
  <si>
    <t>Total Marks</t>
  </si>
  <si>
    <t>Percentage</t>
  </si>
  <si>
    <t>Grade</t>
  </si>
  <si>
    <t>Result</t>
  </si>
  <si>
    <t>Lowest Percentage</t>
  </si>
  <si>
    <t>Average Percentage</t>
  </si>
  <si>
    <t>Highest Percentage</t>
  </si>
  <si>
    <t>Passed</t>
  </si>
  <si>
    <t>Failed</t>
  </si>
  <si>
    <t>Student Performance Analysis</t>
  </si>
  <si>
    <t>Column1</t>
  </si>
  <si>
    <t>Column2</t>
  </si>
  <si>
    <t>Column3</t>
  </si>
  <si>
    <t>Row Labels</t>
  </si>
  <si>
    <t>Grand Total</t>
  </si>
  <si>
    <t>Average of Percentage</t>
  </si>
  <si>
    <t>Count of Roll.No.</t>
  </si>
  <si>
    <t>Student Count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</si>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</sst>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pivotButton="1" applyFont="1"/>
    <xf numFmtId="0" fontId="1" fillId="0" borderId="0" xfId="0" applyFont="1"/>
    <xf numFmtId="9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9" fontId="1" fillId="0" borderId="0" xfId="0" applyNumberFormat="1" applyFont="1" applyAlignment="1"/>
    <xf numFmtId="9" fontId="1" fillId="0" borderId="0" xfId="0" applyNumberFormat="1" applyFont="1" applyAlignment="1">
      <alignment horizontal="left" indent="7"/>
    </xf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4"/>
        <color theme="1"/>
      </font>
      <numFmt numFmtId="13" formatCode="0%"/>
    </dxf>
    <dxf>
      <font>
        <strike val="0"/>
        <outline val="0"/>
        <shadow val="0"/>
        <u val="none"/>
        <vertAlign val="baseline"/>
        <sz val="14"/>
        <color theme="1"/>
      </font>
      <numFmt numFmtId="13" formatCode="0%"/>
      <alignment horizontal="left" vertical="bottom" textRotation="0" wrapText="0" indent="7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[Excelsheet.xlsx]Sheet2!PivotTable3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tint val="77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>
                  <a:shade val="76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Average of Percentage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Sheet2!$A$2:$A$6</c:f>
              <c:strCache>
                <c:ptCount val="4"/>
                <c:pt idx="0">
                  <c:v>AIPA</c:v>
                </c:pt>
                <c:pt idx="1">
                  <c:v>COPA</c:v>
                </c:pt>
                <c:pt idx="2">
                  <c:v>Electronics</c:v>
                </c:pt>
                <c:pt idx="3">
                  <c:v>Fitter</c:v>
                </c:pt>
              </c:strCache>
            </c:strRef>
          </c:cat>
          <c:val>
            <c:numRef>
              <c:f>Sheet2!$B$2:$B$6</c:f>
              <c:numCache>
                <c:formatCode>0%</c:formatCode>
                <c:ptCount val="4"/>
                <c:pt idx="0">
                  <c:v>0.84599999999999986</c:v>
                </c:pt>
                <c:pt idx="1">
                  <c:v>0.81625000000000003</c:v>
                </c:pt>
                <c:pt idx="2">
                  <c:v>0.82833333333333348</c:v>
                </c:pt>
                <c:pt idx="3">
                  <c:v>0.86833333333333329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C-493E-8ADB-0F65E69EF67A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Count of Roll.No.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Sheet2!$A$2:$A$6</c:f>
              <c:strCache>
                <c:ptCount val="4"/>
                <c:pt idx="0">
                  <c:v>AIPA</c:v>
                </c:pt>
                <c:pt idx="1">
                  <c:v>COPA</c:v>
                </c:pt>
                <c:pt idx="2">
                  <c:v>Electronics</c:v>
                </c:pt>
                <c:pt idx="3">
                  <c:v>Fitter</c:v>
                </c:pt>
              </c:strCache>
            </c:strRef>
          </c:cat>
          <c:val>
            <c:numRef>
              <c:f>Sheet2!$C$2:$C$6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C-493E-8ADB-0F65E69EF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458224"/>
        <c:axId val="2067529199"/>
      </c:barChart>
      <c:catAx>
        <c:axId val="1345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529199"/>
        <c:crosses val="autoZero"/>
        <c:auto val="1"/>
        <c:lblAlgn val="ctr"/>
        <c:lblOffset val="100"/>
        <c:noMultiLvlLbl val="0"/>
      </c:catAx>
      <c:valAx>
        <c:axId val="206752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933451</xdr:colOff>
      <xdr:row>8</xdr:row>
      <xdr:rowOff>4762</xdr:rowOff>
    </xdr:from>
    <xdr:to>
      <xdr:col>5</xdr:col>
      <xdr:colOff>447676</xdr:colOff>
      <xdr:row>25</xdr:row>
      <xdr:rowOff>142876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807D8D-F176-B0FB-33F3-52FBE44DE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3.412682986112" createdVersion="8" refreshedVersion="8" minRefreshableVersion="3" recordCount="30" xr:uid="{7379FD28-33CF-4B2B-80D7-BE687423D6CD}">
  <cacheSource type="worksheet">
    <worksheetSource name="Table1"/>
  </cacheSource>
  <cacheFields count="12">
    <cacheField name="Roll.No." numFmtId="0">
      <sharedItems containsSemiMixedTypes="0" containsString="0" containsNumber="1" containsInteger="1" minValue="101" maxValue="130"/>
    </cacheField>
    <cacheField name="Student Name" numFmtId="0">
      <sharedItems/>
    </cacheField>
    <cacheField name="Trade" numFmtId="0">
      <sharedItems count="4">
        <s v="AIPA"/>
        <s v="COPA"/>
        <s v="Electronics"/>
        <s v="Fitter"/>
      </sharedItems>
    </cacheField>
    <cacheField name="Gender" numFmtId="0">
      <sharedItems/>
    </cacheField>
    <cacheField name="Attendence" numFmtId="0">
      <sharedItems containsSemiMixedTypes="0" containsString="0" containsNumber="1" containsInteger="1" minValue="78" maxValue="96"/>
    </cacheField>
    <cacheField name="Internal Marks" numFmtId="0">
      <sharedItems containsSemiMixedTypes="0" containsString="0" containsNumber="1" containsInteger="1" minValue="12" maxValue="20"/>
    </cacheField>
    <cacheField name="Practical Marks" numFmtId="0">
      <sharedItems containsSemiMixedTypes="0" containsString="0" containsNumber="1" containsInteger="1" minValue="21" maxValue="30"/>
    </cacheField>
    <cacheField name="Theory Marks" numFmtId="0">
      <sharedItems containsSemiMixedTypes="0" containsString="0" containsNumber="1" containsInteger="1" minValue="32" maxValue="48"/>
    </cacheField>
    <cacheField name="Total Marks" numFmtId="0">
      <sharedItems containsSemiMixedTypes="0" containsString="0" containsNumber="1" containsInteger="1" minValue="72" maxValue="92"/>
    </cacheField>
    <cacheField name="Percentage" numFmtId="9">
      <sharedItems containsSemiMixedTypes="0" containsString="0" containsNumber="1" minValue="0.72" maxValue="0.92"/>
    </cacheField>
    <cacheField name="Grade" numFmtId="0">
      <sharedItems/>
    </cacheField>
    <cacheField name="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1"/>
    <s v="Aarav"/>
    <x v="0"/>
    <s v="M"/>
    <n v="92"/>
    <n v="18"/>
    <n v="27"/>
    <n v="43"/>
    <n v="88"/>
    <n v="0.88"/>
    <s v="B"/>
    <s v="Fail"/>
  </r>
  <r>
    <n v="102"/>
    <s v="Anaya"/>
    <x v="0"/>
    <s v="F"/>
    <n v="88"/>
    <n v="17"/>
    <n v="26"/>
    <n v="45"/>
    <n v="88"/>
    <n v="0.88"/>
    <s v="B"/>
    <s v="Fail"/>
  </r>
  <r>
    <n v="103"/>
    <s v="Rahul"/>
    <x v="1"/>
    <s v="M"/>
    <n v="85"/>
    <n v="16"/>
    <n v="25"/>
    <n v="41"/>
    <n v="82"/>
    <n v="0.82"/>
    <s v="B"/>
    <s v="Fail"/>
  </r>
  <r>
    <n v="104"/>
    <s v="Priya"/>
    <x v="1"/>
    <s v="F"/>
    <n v="86"/>
    <n v="19"/>
    <n v="25"/>
    <n v="42"/>
    <n v="86"/>
    <n v="0.86"/>
    <s v="B"/>
    <s v="Fail"/>
  </r>
  <r>
    <n v="105"/>
    <s v="Aditya"/>
    <x v="2"/>
    <s v="M"/>
    <n v="87"/>
    <n v="15"/>
    <n v="22"/>
    <n v="45"/>
    <n v="82"/>
    <n v="0.82"/>
    <s v="B"/>
    <s v="Fail"/>
  </r>
  <r>
    <n v="106"/>
    <s v="Neha"/>
    <x v="0"/>
    <s v="F"/>
    <n v="88"/>
    <n v="20"/>
    <n v="23"/>
    <n v="47"/>
    <n v="90"/>
    <n v="0.9"/>
    <s v="A"/>
    <s v="Fail"/>
  </r>
  <r>
    <n v="107"/>
    <s v="Rohit"/>
    <x v="3"/>
    <s v="M"/>
    <n v="89"/>
    <n v="16"/>
    <n v="29"/>
    <n v="35"/>
    <n v="80"/>
    <n v="0.8"/>
    <s v="B"/>
    <s v="Fail"/>
  </r>
  <r>
    <n v="108"/>
    <s v="Sneha"/>
    <x v="1"/>
    <s v="F"/>
    <n v="90"/>
    <n v="18"/>
    <n v="30"/>
    <n v="42"/>
    <n v="90"/>
    <n v="0.9"/>
    <s v="A"/>
    <s v="Fail"/>
  </r>
  <r>
    <n v="109"/>
    <s v="Aman"/>
    <x v="0"/>
    <s v="M"/>
    <n v="91"/>
    <n v="14"/>
    <n v="21"/>
    <n v="47"/>
    <n v="82"/>
    <n v="0.82"/>
    <s v="B"/>
    <s v="Fail"/>
  </r>
  <r>
    <n v="110"/>
    <s v="Pooja"/>
    <x v="3"/>
    <s v="F"/>
    <n v="92"/>
    <n v="19"/>
    <n v="30"/>
    <n v="43"/>
    <n v="92"/>
    <n v="0.92"/>
    <s v="A"/>
    <s v="Fail"/>
  </r>
  <r>
    <n v="111"/>
    <s v="Vivek"/>
    <x v="0"/>
    <s v="M"/>
    <n v="93"/>
    <n v="17"/>
    <n v="24"/>
    <n v="41"/>
    <n v="82"/>
    <n v="0.82"/>
    <s v="B"/>
    <s v="Fail"/>
  </r>
  <r>
    <n v="112"/>
    <s v="Riya"/>
    <x v="2"/>
    <s v="F"/>
    <n v="94"/>
    <n v="18"/>
    <n v="26"/>
    <n v="38"/>
    <n v="82"/>
    <n v="0.82"/>
    <s v="B"/>
    <s v="Fail"/>
  </r>
  <r>
    <n v="113"/>
    <s v="Karan"/>
    <x v="0"/>
    <s v="M"/>
    <n v="95"/>
    <n v="14"/>
    <n v="28"/>
    <n v="40"/>
    <n v="82"/>
    <n v="0.82"/>
    <s v="B"/>
    <s v="Fail"/>
  </r>
  <r>
    <n v="114"/>
    <s v="Simran"/>
    <x v="3"/>
    <s v="F"/>
    <n v="96"/>
    <n v="19"/>
    <n v="25"/>
    <n v="44"/>
    <n v="88"/>
    <n v="0.88"/>
    <s v="B"/>
    <s v="Fail"/>
  </r>
  <r>
    <n v="115"/>
    <s v="Ankit"/>
    <x v="2"/>
    <s v="M"/>
    <n v="78"/>
    <n v="17"/>
    <n v="22"/>
    <n v="43"/>
    <n v="82"/>
    <n v="0.82"/>
    <s v="B"/>
    <s v="Fail"/>
  </r>
  <r>
    <n v="116"/>
    <s v="Nisha Varma"/>
    <x v="1"/>
    <s v="F"/>
    <n v="79"/>
    <n v="18"/>
    <n v="23"/>
    <n v="41"/>
    <n v="82"/>
    <n v="0.82"/>
    <s v="B"/>
    <s v="Fail"/>
  </r>
  <r>
    <n v="117"/>
    <s v="Saurabh"/>
    <x v="0"/>
    <s v="M "/>
    <n v="80"/>
    <n v="15"/>
    <n v="25"/>
    <n v="36"/>
    <n v="76"/>
    <n v="0.76"/>
    <s v="C"/>
    <s v="Fail"/>
  </r>
  <r>
    <n v="118"/>
    <s v="Kajal"/>
    <x v="1"/>
    <s v="F"/>
    <n v="81"/>
    <n v="20"/>
    <n v="27"/>
    <n v="37"/>
    <n v="84"/>
    <n v="0.84"/>
    <s v="B"/>
    <s v="Fail"/>
  </r>
  <r>
    <n v="119"/>
    <s v="Mohit"/>
    <x v="0"/>
    <s v="M"/>
    <n v="82"/>
    <n v="17"/>
    <n v="28"/>
    <n v="35"/>
    <n v="80"/>
    <n v="0.8"/>
    <s v="B"/>
    <s v="Fail"/>
  </r>
  <r>
    <n v="120"/>
    <s v="Muskan"/>
    <x v="2"/>
    <s v="F"/>
    <n v="83"/>
    <n v="19"/>
    <n v="23"/>
    <n v="43"/>
    <n v="85"/>
    <n v="0.85"/>
    <s v="B"/>
    <s v="Fail"/>
  </r>
  <r>
    <n v="121"/>
    <s v="Abhishek"/>
    <x v="3"/>
    <s v="M"/>
    <n v="84"/>
    <n v="16"/>
    <n v="24"/>
    <n v="46"/>
    <n v="86"/>
    <n v="0.86"/>
    <s v="B"/>
    <s v="Fail"/>
  </r>
  <r>
    <n v="122"/>
    <s v="Shreya"/>
    <x v="0"/>
    <s v="F"/>
    <n v="85"/>
    <n v="18"/>
    <n v="26"/>
    <n v="48"/>
    <n v="92"/>
    <n v="0.92"/>
    <s v="A"/>
    <s v="Fail"/>
  </r>
  <r>
    <n v="123"/>
    <s v="Deepa"/>
    <x v="1"/>
    <s v="F"/>
    <n v="86"/>
    <n v="14"/>
    <n v="26"/>
    <n v="32"/>
    <n v="72"/>
    <n v="0.72"/>
    <s v="C"/>
    <s v="Fail"/>
  </r>
  <r>
    <n v="124"/>
    <s v="Nikita"/>
    <x v="2"/>
    <s v="F"/>
    <n v="87"/>
    <n v="20"/>
    <n v="27"/>
    <n v="41"/>
    <n v="88"/>
    <n v="0.88"/>
    <s v="B"/>
    <s v="Fail"/>
  </r>
  <r>
    <n v="125"/>
    <s v="Nitin"/>
    <x v="3"/>
    <s v="M"/>
    <n v="88"/>
    <n v="17"/>
    <n v="28"/>
    <n v="43"/>
    <n v="88"/>
    <n v="0.88"/>
    <s v="B"/>
    <s v="Fail"/>
  </r>
  <r>
    <n v="126"/>
    <s v="Ayansh"/>
    <x v="0"/>
    <s v="M"/>
    <n v="89"/>
    <n v="19"/>
    <n v="21"/>
    <n v="46"/>
    <n v="86"/>
    <n v="0.86"/>
    <s v="B"/>
    <s v="Fail"/>
  </r>
  <r>
    <n v="127"/>
    <s v="Manish"/>
    <x v="1"/>
    <s v="M"/>
    <n v="90"/>
    <n v="12"/>
    <n v="23"/>
    <n v="42"/>
    <n v="77"/>
    <n v="0.77"/>
    <s v="C"/>
    <s v="Fail"/>
  </r>
  <r>
    <n v="128"/>
    <s v="Komal"/>
    <x v="2"/>
    <s v="M"/>
    <n v="91"/>
    <n v="18"/>
    <n v="24"/>
    <n v="36"/>
    <n v="78"/>
    <n v="0.78"/>
    <s v="C"/>
    <s v="Fail"/>
  </r>
  <r>
    <n v="129"/>
    <s v="Yash"/>
    <x v="1"/>
    <s v="M"/>
    <n v="92"/>
    <n v="16"/>
    <n v="25"/>
    <n v="39"/>
    <n v="80"/>
    <n v="0.8"/>
    <s v="B"/>
    <s v="Fail"/>
  </r>
  <r>
    <n v="130"/>
    <s v="Divya"/>
    <x v="3"/>
    <s v="F"/>
    <n v="93"/>
    <n v="19"/>
    <n v="26"/>
    <n v="42"/>
    <n v="87"/>
    <n v="0.87"/>
    <s v="B"/>
    <s v="Fa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B44A3-C801-4B84-9568-2B9CC9F13C8D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C6" firstHeaderRow="0" firstDataRow="1" firstDataCol="1"/>
  <pivotFields count="12">
    <pivotField dataField="1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ercentage" fld="9" subtotal="average" baseField="2" baseItem="0" numFmtId="9"/>
    <dataField name="Count of Roll.No." fld="0" subtotal="count" baseField="2" baseItem="0"/>
  </dataFields>
  <formats count="8">
    <format dxfId="27">
      <pivotArea dataOnly="0" fieldPosition="0">
        <references count="1">
          <reference field="2" count="0"/>
        </references>
      </pivotArea>
    </format>
    <format dxfId="26">
      <pivotArea dataOnly="0" grandRow="1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F8729-180E-4E00-8F25-FDDDEFDF97BE}" name="Table1" displayName="Table1" ref="A1:L31" totalsRowShown="0" headerRowDxfId="6" dataDxfId="5">
  <autoFilter ref="A1:L31" xr:uid="{BC9F8729-180E-4E00-8F25-FDDDEFDF97BE}"/>
  <tableColumns count="12">
    <tableColumn id="1" xr3:uid="{6F0C1865-E4CD-47B8-9B2C-AE0B363305B7}" name="Roll.No." dataDxfId="18"/>
    <tableColumn id="2" xr3:uid="{E9D073E0-F95E-49C6-8C04-754BE43B8216}" name="Student Name" dataDxfId="17"/>
    <tableColumn id="3" xr3:uid="{A435A8CD-55E5-4A06-9D34-D086CDE66519}" name="Trade" dataDxfId="16"/>
    <tableColumn id="4" xr3:uid="{490B8893-298F-4CA4-B2A7-F600DA5F81A6}" name="Gender" dataDxfId="15"/>
    <tableColumn id="5" xr3:uid="{E4E7AD14-8A5E-4767-89C5-CC4F8942063A}" name="Attendence" dataDxfId="14"/>
    <tableColumn id="6" xr3:uid="{142C6CFD-F612-4CA3-B198-95ABD3C8C7D8}" name="Internal Marks" dataDxfId="13"/>
    <tableColumn id="7" xr3:uid="{FE0F3BDE-F248-4C30-95C2-1C54EC403653}" name="Practical Marks" dataDxfId="12"/>
    <tableColumn id="8" xr3:uid="{B2C60D4E-7F67-4793-801D-192FDA90F72B}" name="Theory Marks" dataDxfId="11"/>
    <tableColumn id="9" xr3:uid="{A343447A-16DF-4D36-A875-E7BE75FDF179}" name="Total Marks" dataDxfId="10">
      <calculatedColumnFormula>SUM(F2:H2)</calculatedColumnFormula>
    </tableColumn>
    <tableColumn id="10" xr3:uid="{2AFC4529-208E-4122-9D34-91979BE84D97}" name="Percentage" dataDxfId="9">
      <calculatedColumnFormula>I2/100</calculatedColumnFormula>
    </tableColumn>
    <tableColumn id="11" xr3:uid="{0B4D0B17-4F1C-4CD9-818F-4959D466FC52}" name="Grade" dataDxfId="8">
      <calculatedColumnFormula>IF(I2&gt;=90,"A",IF(I2&gt;=80,"B",IF(I2&gt;=70,"C",IF(I2&gt;=60,"D","F"))))</calculatedColumnFormula>
    </tableColumn>
    <tableColumn id="12" xr3:uid="{53C5F569-976E-41C9-A455-B08B656000BF}" name="Result" dataDxfId="7">
      <calculatedColumnFormula>IF(J2&gt;=40,"Pass","Fail")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1A92B9-C7FB-4028-A215-69B5B4238510}" name="Table3" displayName="Table3" ref="N6:P12" totalsRowShown="0" headerRowDxfId="1" dataDxfId="0">
  <autoFilter ref="N6:P12" xr:uid="{4A1A92B9-C7FB-4028-A215-69B5B4238510}"/>
  <tableColumns count="3">
    <tableColumn id="1" xr3:uid="{0110925A-7DB5-46BE-9A29-051AD1FBB384}" name="Column1" dataDxfId="4"/>
    <tableColumn id="2" xr3:uid="{766E3BAD-787B-4A03-8289-EC9DD0CC23A7}" name="Column2" dataDxfId="3"/>
    <tableColumn id="3" xr3:uid="{1C3FBE0B-B8DF-4EB1-975B-913037E7E8DD}" name="Column3" dataDxfId="2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1EB3B-410E-44B8-BBC8-A0D5065D7338}">
  <dimension ref="A1:J7"/>
  <sheetViews>
    <sheetView tabSelected="1" workbookViewId="0">
      <selection activeCell="J4" sqref="J4"/>
    </sheetView>
  </sheetViews>
  <sheetFormatPr defaultRowHeight="15" x14ac:dyDescent="0.25"/>
  <cols>
    <col min="1" max="1" width="19.42578125" customWidth="1"/>
    <col min="2" max="2" width="31.140625" customWidth="1"/>
    <col min="3" max="3" width="25.140625" customWidth="1"/>
    <col min="4" max="4" width="13.42578125" bestFit="1" customWidth="1"/>
    <col min="5" max="5" width="21.42578125" bestFit="1" customWidth="1"/>
    <col min="9" max="9" width="17.5703125" customWidth="1"/>
    <col min="10" max="10" width="33" customWidth="1"/>
  </cols>
  <sheetData>
    <row r="1" spans="1:10" ht="18.75" x14ac:dyDescent="0.3">
      <c r="A1" s="3" t="s">
        <v>58</v>
      </c>
      <c r="B1" s="4" t="s">
        <v>60</v>
      </c>
      <c r="C1" s="4" t="s">
        <v>61</v>
      </c>
    </row>
    <row r="2" spans="1:10" ht="18.75" x14ac:dyDescent="0.3">
      <c r="A2" s="2" t="s">
        <v>41</v>
      </c>
      <c r="B2" s="5">
        <v>0.84599999999999986</v>
      </c>
      <c r="C2" s="6">
        <v>10</v>
      </c>
    </row>
    <row r="3" spans="1:10" ht="18.75" x14ac:dyDescent="0.3">
      <c r="A3" s="2" t="s">
        <v>42</v>
      </c>
      <c r="B3" s="5">
        <v>0.81625000000000003</v>
      </c>
      <c r="C3" s="6">
        <v>8</v>
      </c>
      <c r="I3" s="2" t="s">
        <v>47</v>
      </c>
      <c r="J3" s="2" t="s">
        <v>62</v>
      </c>
    </row>
    <row r="4" spans="1:10" ht="18.75" x14ac:dyDescent="0.3">
      <c r="A4" s="2" t="s">
        <v>43</v>
      </c>
      <c r="B4" s="5">
        <v>0.82833333333333348</v>
      </c>
      <c r="C4" s="6">
        <v>6</v>
      </c>
      <c r="I4" s="2" t="s">
        <v>63</v>
      </c>
      <c r="J4" s="1"/>
    </row>
    <row r="5" spans="1:10" ht="18.75" x14ac:dyDescent="0.3">
      <c r="A5" s="2" t="s">
        <v>44</v>
      </c>
      <c r="B5" s="5">
        <v>0.86833333333333329</v>
      </c>
      <c r="C5" s="6">
        <v>6</v>
      </c>
      <c r="I5" s="2" t="s">
        <v>64</v>
      </c>
      <c r="J5" s="1"/>
    </row>
    <row r="6" spans="1:10" ht="18.75" x14ac:dyDescent="0.3">
      <c r="A6" s="2" t="s">
        <v>59</v>
      </c>
      <c r="B6" s="5">
        <v>0.83900000000000008</v>
      </c>
      <c r="C6" s="6">
        <v>30</v>
      </c>
      <c r="I6" s="2" t="s">
        <v>65</v>
      </c>
      <c r="J6" s="1"/>
    </row>
    <row r="7" spans="1:10" ht="18.75" x14ac:dyDescent="0.3">
      <c r="I7" s="2" t="s">
        <v>66</v>
      </c>
      <c r="J7" s="1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7D08-A4C2-4923-8E46-1D73650847EA}">
  <dimension ref="A1:P37"/>
  <sheetViews>
    <sheetView workbookViewId="0">
      <selection activeCell="P8" sqref="P8"/>
    </sheetView>
  </sheetViews>
  <sheetFormatPr defaultRowHeight="18.75" x14ac:dyDescent="0.3"/>
  <cols>
    <col min="1" max="1" width="13.42578125" style="4" customWidth="1"/>
    <col min="2" max="2" width="22.28515625" style="4" customWidth="1"/>
    <col min="3" max="3" width="15.140625" style="4" customWidth="1"/>
    <col min="4" max="4" width="13.5703125" style="4" customWidth="1"/>
    <col min="5" max="5" width="15.42578125" style="4" customWidth="1"/>
    <col min="6" max="6" width="17.85546875" style="4" customWidth="1"/>
    <col min="7" max="7" width="18.5703125" style="4" customWidth="1"/>
    <col min="8" max="8" width="16.42578125" style="4" customWidth="1"/>
    <col min="9" max="9" width="17.42578125" style="4" customWidth="1"/>
    <col min="10" max="10" width="14" style="4" customWidth="1"/>
    <col min="11" max="11" width="14.85546875" style="4" customWidth="1"/>
    <col min="12" max="12" width="15.5703125" style="4" customWidth="1"/>
    <col min="13" max="13" width="14.28515625" style="4" customWidth="1"/>
    <col min="14" max="14" width="6.85546875" style="4" hidden="1" customWidth="1"/>
    <col min="15" max="15" width="20.140625" style="4" customWidth="1"/>
    <col min="16" max="16" width="20" style="4" customWidth="1"/>
    <col min="17" max="16384" width="9.140625" style="4"/>
  </cols>
  <sheetData>
    <row r="1" spans="1:16" s="4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45</v>
      </c>
      <c r="J1" s="2" t="s">
        <v>46</v>
      </c>
      <c r="K1" s="2" t="s">
        <v>47</v>
      </c>
      <c r="L1" s="2" t="s">
        <v>48</v>
      </c>
    </row>
    <row r="2" spans="1:16" s="4" customFormat="1" x14ac:dyDescent="0.3">
      <c r="A2" s="7">
        <v>101</v>
      </c>
      <c r="B2" s="7" t="s">
        <v>8</v>
      </c>
      <c r="C2" s="7" t="s">
        <v>41</v>
      </c>
      <c r="D2" s="7" t="s">
        <v>38</v>
      </c>
      <c r="E2" s="7">
        <v>92</v>
      </c>
      <c r="F2" s="7">
        <v>18</v>
      </c>
      <c r="G2" s="7">
        <v>27</v>
      </c>
      <c r="H2" s="7">
        <v>43</v>
      </c>
      <c r="I2" s="7">
        <f>SUM(F2:H2)</f>
        <v>88</v>
      </c>
      <c r="J2" s="8">
        <f>I2/100</f>
        <v>0.88</v>
      </c>
      <c r="K2" s="7" t="str">
        <f>IF(I2&gt;=90,"A",IF(I2&gt;=80,"B",IF(I2&gt;=70,"C",IF(I2&gt;=60,"D","F"))))</f>
        <v>B</v>
      </c>
      <c r="L2" s="7" t="str">
        <f>IF(J2&gt;=40,"Pass","Fail")</f>
        <v>Fail</v>
      </c>
      <c r="M2" s="5"/>
      <c r="N2" s="5"/>
    </row>
    <row r="3" spans="1:16" s="4" customFormat="1" x14ac:dyDescent="0.3">
      <c r="A3" s="7">
        <v>102</v>
      </c>
      <c r="B3" s="7" t="s">
        <v>9</v>
      </c>
      <c r="C3" s="7" t="s">
        <v>41</v>
      </c>
      <c r="D3" s="7" t="s">
        <v>39</v>
      </c>
      <c r="E3" s="7">
        <v>88</v>
      </c>
      <c r="F3" s="7">
        <v>17</v>
      </c>
      <c r="G3" s="7">
        <v>26</v>
      </c>
      <c r="H3" s="7">
        <v>45</v>
      </c>
      <c r="I3" s="7">
        <f>SUM(F3:H3)</f>
        <v>88</v>
      </c>
      <c r="J3" s="8">
        <f t="shared" ref="J3:J31" si="0">I3/100</f>
        <v>0.88</v>
      </c>
      <c r="K3" s="7" t="str">
        <f t="shared" ref="K3:K31" si="1">IF(I3&gt;=90,"A",IF(I3&gt;=80,"B",IF(I3&gt;=70,"C",IF(I3&gt;=60,"D","F"))))</f>
        <v>B</v>
      </c>
      <c r="L3" s="7" t="str">
        <f t="shared" ref="L3:L31" si="2">IF(J3&gt;=40,"Pass","Fail")</f>
        <v>Fail</v>
      </c>
      <c r="M3" s="5"/>
      <c r="N3" s="5"/>
    </row>
    <row r="4" spans="1:16" s="4" customFormat="1" x14ac:dyDescent="0.3">
      <c r="A4" s="7">
        <v>103</v>
      </c>
      <c r="B4" s="7" t="s">
        <v>10</v>
      </c>
      <c r="C4" s="7" t="s">
        <v>42</v>
      </c>
      <c r="D4" s="7" t="s">
        <v>38</v>
      </c>
      <c r="E4" s="7">
        <v>85</v>
      </c>
      <c r="F4" s="7">
        <v>16</v>
      </c>
      <c r="G4" s="7">
        <v>25</v>
      </c>
      <c r="H4" s="7">
        <v>41</v>
      </c>
      <c r="I4" s="7">
        <f>SUM(F4:H4)</f>
        <v>82</v>
      </c>
      <c r="J4" s="8">
        <f t="shared" si="0"/>
        <v>0.82</v>
      </c>
      <c r="K4" s="7" t="str">
        <f t="shared" si="1"/>
        <v>B</v>
      </c>
      <c r="L4" s="7" t="str">
        <f t="shared" si="2"/>
        <v>Fail</v>
      </c>
      <c r="M4" s="5"/>
      <c r="N4" s="9"/>
    </row>
    <row r="5" spans="1:16" s="4" customFormat="1" x14ac:dyDescent="0.3">
      <c r="A5" s="7">
        <v>104</v>
      </c>
      <c r="B5" s="7" t="s">
        <v>11</v>
      </c>
      <c r="C5" s="7" t="s">
        <v>42</v>
      </c>
      <c r="D5" s="7" t="s">
        <v>39</v>
      </c>
      <c r="E5" s="7">
        <v>86</v>
      </c>
      <c r="F5" s="7">
        <v>19</v>
      </c>
      <c r="G5" s="7">
        <v>25</v>
      </c>
      <c r="H5" s="7">
        <v>42</v>
      </c>
      <c r="I5" s="7">
        <f>SUM(F5:H5)</f>
        <v>86</v>
      </c>
      <c r="J5" s="8">
        <f t="shared" si="0"/>
        <v>0.86</v>
      </c>
      <c r="K5" s="7" t="str">
        <f t="shared" si="1"/>
        <v>B</v>
      </c>
      <c r="L5" s="7" t="str">
        <f t="shared" si="2"/>
        <v>Fail</v>
      </c>
      <c r="M5" s="5"/>
      <c r="N5" s="5"/>
    </row>
    <row r="6" spans="1:16" s="4" customFormat="1" x14ac:dyDescent="0.3">
      <c r="A6" s="7">
        <v>105</v>
      </c>
      <c r="B6" s="7" t="s">
        <v>12</v>
      </c>
      <c r="C6" s="7" t="s">
        <v>43</v>
      </c>
      <c r="D6" s="7" t="s">
        <v>38</v>
      </c>
      <c r="E6" s="7">
        <v>87</v>
      </c>
      <c r="F6" s="7">
        <v>15</v>
      </c>
      <c r="G6" s="7">
        <v>22</v>
      </c>
      <c r="H6" s="7">
        <v>45</v>
      </c>
      <c r="I6" s="7">
        <f>SUM(F6:H6)</f>
        <v>82</v>
      </c>
      <c r="J6" s="8">
        <f t="shared" si="0"/>
        <v>0.82</v>
      </c>
      <c r="K6" s="7" t="str">
        <f t="shared" si="1"/>
        <v>B</v>
      </c>
      <c r="L6" s="7" t="str">
        <f t="shared" si="2"/>
        <v>Fail</v>
      </c>
      <c r="M6" s="5"/>
      <c r="N6" s="10" t="s">
        <v>55</v>
      </c>
      <c r="O6" s="10" t="s">
        <v>56</v>
      </c>
      <c r="P6" s="10" t="s">
        <v>57</v>
      </c>
    </row>
    <row r="7" spans="1:16" s="4" customFormat="1" x14ac:dyDescent="0.3">
      <c r="A7" s="7">
        <v>106</v>
      </c>
      <c r="B7" s="7" t="s">
        <v>13</v>
      </c>
      <c r="C7" s="7" t="s">
        <v>41</v>
      </c>
      <c r="D7" s="7" t="s">
        <v>39</v>
      </c>
      <c r="E7" s="7">
        <v>88</v>
      </c>
      <c r="F7" s="7">
        <v>20</v>
      </c>
      <c r="G7" s="7">
        <v>23</v>
      </c>
      <c r="H7" s="7">
        <v>47</v>
      </c>
      <c r="I7" s="7">
        <f>SUM(F7:H7)</f>
        <v>90</v>
      </c>
      <c r="J7" s="8">
        <f t="shared" si="0"/>
        <v>0.9</v>
      </c>
      <c r="K7" s="7" t="str">
        <f t="shared" si="1"/>
        <v>A</v>
      </c>
      <c r="L7" s="7" t="str">
        <f t="shared" si="2"/>
        <v>Fail</v>
      </c>
      <c r="M7" s="5"/>
      <c r="N7" s="10" t="s">
        <v>54</v>
      </c>
      <c r="O7" s="10"/>
      <c r="P7" s="10"/>
    </row>
    <row r="8" spans="1:16" s="4" customFormat="1" x14ac:dyDescent="0.3">
      <c r="A8" s="7">
        <v>107</v>
      </c>
      <c r="B8" s="7" t="s">
        <v>14</v>
      </c>
      <c r="C8" s="7" t="s">
        <v>44</v>
      </c>
      <c r="D8" s="7" t="s">
        <v>38</v>
      </c>
      <c r="E8" s="7">
        <v>89</v>
      </c>
      <c r="F8" s="7">
        <v>16</v>
      </c>
      <c r="G8" s="7">
        <v>29</v>
      </c>
      <c r="H8" s="7">
        <v>35</v>
      </c>
      <c r="I8" s="7">
        <f>SUM(F8:H8)</f>
        <v>80</v>
      </c>
      <c r="J8" s="8">
        <f t="shared" si="0"/>
        <v>0.8</v>
      </c>
      <c r="K8" s="7" t="str">
        <f t="shared" si="1"/>
        <v>B</v>
      </c>
      <c r="L8" s="7" t="str">
        <f t="shared" si="2"/>
        <v>Fail</v>
      </c>
      <c r="M8" s="5"/>
      <c r="N8" s="5"/>
      <c r="O8" s="2" t="s">
        <v>51</v>
      </c>
      <c r="P8" s="5">
        <f>MAX(J2:J31)</f>
        <v>0.92</v>
      </c>
    </row>
    <row r="9" spans="1:16" s="4" customFormat="1" x14ac:dyDescent="0.3">
      <c r="A9" s="7">
        <v>108</v>
      </c>
      <c r="B9" s="7" t="s">
        <v>15</v>
      </c>
      <c r="C9" s="7" t="s">
        <v>42</v>
      </c>
      <c r="D9" s="7" t="s">
        <v>39</v>
      </c>
      <c r="E9" s="7">
        <v>90</v>
      </c>
      <c r="F9" s="7">
        <v>18</v>
      </c>
      <c r="G9" s="7">
        <v>30</v>
      </c>
      <c r="H9" s="7">
        <v>42</v>
      </c>
      <c r="I9" s="7">
        <f>SUM(F9:H9)</f>
        <v>90</v>
      </c>
      <c r="J9" s="8">
        <f t="shared" si="0"/>
        <v>0.9</v>
      </c>
      <c r="K9" s="7" t="str">
        <f t="shared" si="1"/>
        <v>A</v>
      </c>
      <c r="L9" s="7" t="str">
        <f t="shared" si="2"/>
        <v>Fail</v>
      </c>
      <c r="M9" s="5"/>
      <c r="N9" s="5"/>
      <c r="O9" s="2" t="s">
        <v>49</v>
      </c>
      <c r="P9" s="5">
        <f>MIN(J21:J31)</f>
        <v>0.72</v>
      </c>
    </row>
    <row r="10" spans="1:16" s="4" customFormat="1" x14ac:dyDescent="0.3">
      <c r="A10" s="7">
        <v>109</v>
      </c>
      <c r="B10" s="7" t="s">
        <v>16</v>
      </c>
      <c r="C10" s="7" t="s">
        <v>41</v>
      </c>
      <c r="D10" s="7" t="s">
        <v>38</v>
      </c>
      <c r="E10" s="7">
        <v>91</v>
      </c>
      <c r="F10" s="7">
        <v>14</v>
      </c>
      <c r="G10" s="7">
        <v>21</v>
      </c>
      <c r="H10" s="7">
        <v>47</v>
      </c>
      <c r="I10" s="7">
        <f>SUM(F10:H10)</f>
        <v>82</v>
      </c>
      <c r="J10" s="8">
        <f t="shared" si="0"/>
        <v>0.82</v>
      </c>
      <c r="K10" s="7" t="str">
        <f t="shared" si="1"/>
        <v>B</v>
      </c>
      <c r="L10" s="7" t="str">
        <f t="shared" si="2"/>
        <v>Fail</v>
      </c>
      <c r="M10" s="5"/>
      <c r="N10" s="5"/>
      <c r="O10" s="2" t="s">
        <v>50</v>
      </c>
      <c r="P10" s="5">
        <f>AVERAGE(J21:J31)</f>
        <v>0.83545454545454545</v>
      </c>
    </row>
    <row r="11" spans="1:16" s="4" customFormat="1" x14ac:dyDescent="0.3">
      <c r="A11" s="7">
        <v>110</v>
      </c>
      <c r="B11" s="7" t="s">
        <v>17</v>
      </c>
      <c r="C11" s="7" t="s">
        <v>44</v>
      </c>
      <c r="D11" s="7" t="s">
        <v>39</v>
      </c>
      <c r="E11" s="7">
        <v>92</v>
      </c>
      <c r="F11" s="7">
        <v>19</v>
      </c>
      <c r="G11" s="7">
        <v>30</v>
      </c>
      <c r="H11" s="7">
        <v>43</v>
      </c>
      <c r="I11" s="7">
        <f>SUM(F11:H11)</f>
        <v>92</v>
      </c>
      <c r="J11" s="8">
        <f t="shared" si="0"/>
        <v>0.92</v>
      </c>
      <c r="K11" s="7" t="str">
        <f t="shared" si="1"/>
        <v>A</v>
      </c>
      <c r="L11" s="7" t="str">
        <f t="shared" si="2"/>
        <v>Fail</v>
      </c>
      <c r="M11" s="5"/>
      <c r="N11" s="5"/>
      <c r="O11" s="2" t="s">
        <v>52</v>
      </c>
      <c r="P11" s="2">
        <f>COUNTIF(L2:L31,"PASS")</f>
        <v>0</v>
      </c>
    </row>
    <row r="12" spans="1:16" s="4" customFormat="1" x14ac:dyDescent="0.3">
      <c r="A12" s="7">
        <v>111</v>
      </c>
      <c r="B12" s="7" t="s">
        <v>18</v>
      </c>
      <c r="C12" s="7" t="s">
        <v>41</v>
      </c>
      <c r="D12" s="7" t="s">
        <v>38</v>
      </c>
      <c r="E12" s="7">
        <v>93</v>
      </c>
      <c r="F12" s="7">
        <v>17</v>
      </c>
      <c r="G12" s="7">
        <v>24</v>
      </c>
      <c r="H12" s="7">
        <v>41</v>
      </c>
      <c r="I12" s="7">
        <f>SUM(F12:H12)</f>
        <v>82</v>
      </c>
      <c r="J12" s="8">
        <f t="shared" si="0"/>
        <v>0.82</v>
      </c>
      <c r="K12" s="7" t="str">
        <f t="shared" si="1"/>
        <v>B</v>
      </c>
      <c r="L12" s="7" t="str">
        <f t="shared" si="2"/>
        <v>Fail</v>
      </c>
      <c r="M12" s="5"/>
      <c r="N12" s="5"/>
      <c r="O12" s="2" t="s">
        <v>53</v>
      </c>
      <c r="P12" s="2">
        <f>COUNTIF(L2:L31,"Fail")</f>
        <v>30</v>
      </c>
    </row>
    <row r="13" spans="1:16" s="4" customFormat="1" x14ac:dyDescent="0.3">
      <c r="A13" s="7">
        <v>112</v>
      </c>
      <c r="B13" s="7" t="s">
        <v>19</v>
      </c>
      <c r="C13" s="7" t="s">
        <v>43</v>
      </c>
      <c r="D13" s="7" t="s">
        <v>39</v>
      </c>
      <c r="E13" s="7">
        <v>94</v>
      </c>
      <c r="F13" s="7">
        <v>18</v>
      </c>
      <c r="G13" s="7">
        <v>26</v>
      </c>
      <c r="H13" s="7">
        <v>38</v>
      </c>
      <c r="I13" s="7">
        <f>SUM(F13:H13)</f>
        <v>82</v>
      </c>
      <c r="J13" s="8">
        <f t="shared" si="0"/>
        <v>0.82</v>
      </c>
      <c r="K13" s="7" t="str">
        <f t="shared" si="1"/>
        <v>B</v>
      </c>
      <c r="L13" s="7" t="str">
        <f t="shared" si="2"/>
        <v>Fail</v>
      </c>
      <c r="M13" s="5"/>
      <c r="N13" s="5"/>
      <c r="O13" s="5"/>
    </row>
    <row r="14" spans="1:16" s="4" customFormat="1" x14ac:dyDescent="0.3">
      <c r="A14" s="7">
        <v>113</v>
      </c>
      <c r="B14" s="7" t="s">
        <v>20</v>
      </c>
      <c r="C14" s="7" t="s">
        <v>41</v>
      </c>
      <c r="D14" s="7" t="s">
        <v>38</v>
      </c>
      <c r="E14" s="7">
        <v>95</v>
      </c>
      <c r="F14" s="7">
        <v>14</v>
      </c>
      <c r="G14" s="7">
        <v>28</v>
      </c>
      <c r="H14" s="7">
        <v>40</v>
      </c>
      <c r="I14" s="7">
        <f>SUM(F14:H14)</f>
        <v>82</v>
      </c>
      <c r="J14" s="8">
        <f t="shared" si="0"/>
        <v>0.82</v>
      </c>
      <c r="K14" s="7" t="str">
        <f t="shared" si="1"/>
        <v>B</v>
      </c>
      <c r="L14" s="7" t="str">
        <f t="shared" si="2"/>
        <v>Fail</v>
      </c>
      <c r="M14" s="5"/>
      <c r="N14" s="5"/>
      <c r="O14" s="5"/>
    </row>
    <row r="15" spans="1:16" s="4" customFormat="1" x14ac:dyDescent="0.3">
      <c r="A15" s="7">
        <v>114</v>
      </c>
      <c r="B15" s="7" t="s">
        <v>21</v>
      </c>
      <c r="C15" s="7" t="s">
        <v>44</v>
      </c>
      <c r="D15" s="7" t="s">
        <v>39</v>
      </c>
      <c r="E15" s="7">
        <v>96</v>
      </c>
      <c r="F15" s="7">
        <v>19</v>
      </c>
      <c r="G15" s="7">
        <v>25</v>
      </c>
      <c r="H15" s="7">
        <v>44</v>
      </c>
      <c r="I15" s="7">
        <f>SUM(F15:H15)</f>
        <v>88</v>
      </c>
      <c r="J15" s="8">
        <f t="shared" si="0"/>
        <v>0.88</v>
      </c>
      <c r="K15" s="7" t="str">
        <f t="shared" si="1"/>
        <v>B</v>
      </c>
      <c r="L15" s="7" t="str">
        <f t="shared" si="2"/>
        <v>Fail</v>
      </c>
      <c r="M15" s="5"/>
      <c r="N15" s="5"/>
      <c r="O15" s="5"/>
    </row>
    <row r="16" spans="1:16" s="4" customFormat="1" x14ac:dyDescent="0.3">
      <c r="A16" s="7">
        <v>115</v>
      </c>
      <c r="B16" s="7" t="s">
        <v>22</v>
      </c>
      <c r="C16" s="7" t="s">
        <v>43</v>
      </c>
      <c r="D16" s="7" t="s">
        <v>38</v>
      </c>
      <c r="E16" s="7">
        <v>78</v>
      </c>
      <c r="F16" s="7">
        <v>17</v>
      </c>
      <c r="G16" s="7">
        <v>22</v>
      </c>
      <c r="H16" s="7">
        <v>43</v>
      </c>
      <c r="I16" s="7">
        <f>SUM(F16:H16)</f>
        <v>82</v>
      </c>
      <c r="J16" s="8">
        <f t="shared" si="0"/>
        <v>0.82</v>
      </c>
      <c r="K16" s="7" t="str">
        <f t="shared" si="1"/>
        <v>B</v>
      </c>
      <c r="L16" s="7" t="str">
        <f t="shared" si="2"/>
        <v>Fail</v>
      </c>
      <c r="M16" s="5"/>
      <c r="N16" s="5"/>
      <c r="O16" s="5"/>
    </row>
    <row r="17" spans="1:15" s="4" customFormat="1" x14ac:dyDescent="0.3">
      <c r="A17" s="7">
        <v>116</v>
      </c>
      <c r="B17" s="7" t="s">
        <v>23</v>
      </c>
      <c r="C17" s="7" t="s">
        <v>42</v>
      </c>
      <c r="D17" s="7" t="s">
        <v>39</v>
      </c>
      <c r="E17" s="7">
        <v>79</v>
      </c>
      <c r="F17" s="7">
        <v>18</v>
      </c>
      <c r="G17" s="7">
        <v>23</v>
      </c>
      <c r="H17" s="7">
        <v>41</v>
      </c>
      <c r="I17" s="7">
        <f>SUM(F17:H17)</f>
        <v>82</v>
      </c>
      <c r="J17" s="8">
        <f t="shared" si="0"/>
        <v>0.82</v>
      </c>
      <c r="K17" s="7" t="str">
        <f t="shared" si="1"/>
        <v>B</v>
      </c>
      <c r="L17" s="7" t="str">
        <f t="shared" si="2"/>
        <v>Fail</v>
      </c>
      <c r="M17" s="5"/>
      <c r="N17" s="5"/>
      <c r="O17" s="5"/>
    </row>
    <row r="18" spans="1:15" s="4" customFormat="1" x14ac:dyDescent="0.3">
      <c r="A18" s="7">
        <v>117</v>
      </c>
      <c r="B18" s="7" t="s">
        <v>24</v>
      </c>
      <c r="C18" s="7" t="s">
        <v>41</v>
      </c>
      <c r="D18" s="7" t="s">
        <v>40</v>
      </c>
      <c r="E18" s="7">
        <v>80</v>
      </c>
      <c r="F18" s="7">
        <v>15</v>
      </c>
      <c r="G18" s="7">
        <v>25</v>
      </c>
      <c r="H18" s="7">
        <v>36</v>
      </c>
      <c r="I18" s="7">
        <f>SUM(F18:H18)</f>
        <v>76</v>
      </c>
      <c r="J18" s="8">
        <f t="shared" si="0"/>
        <v>0.76</v>
      </c>
      <c r="K18" s="7" t="str">
        <f t="shared" si="1"/>
        <v>C</v>
      </c>
      <c r="L18" s="7" t="str">
        <f t="shared" si="2"/>
        <v>Fail</v>
      </c>
      <c r="M18" s="5"/>
      <c r="N18" s="5"/>
      <c r="O18" s="5"/>
    </row>
    <row r="19" spans="1:15" s="4" customFormat="1" x14ac:dyDescent="0.3">
      <c r="A19" s="7">
        <v>118</v>
      </c>
      <c r="B19" s="7" t="s">
        <v>25</v>
      </c>
      <c r="C19" s="7" t="s">
        <v>42</v>
      </c>
      <c r="D19" s="7" t="s">
        <v>39</v>
      </c>
      <c r="E19" s="7">
        <v>81</v>
      </c>
      <c r="F19" s="7">
        <v>20</v>
      </c>
      <c r="G19" s="7">
        <v>27</v>
      </c>
      <c r="H19" s="7">
        <v>37</v>
      </c>
      <c r="I19" s="7">
        <f>SUM(F19:H19)</f>
        <v>84</v>
      </c>
      <c r="J19" s="8">
        <f t="shared" si="0"/>
        <v>0.84</v>
      </c>
      <c r="K19" s="7" t="str">
        <f t="shared" si="1"/>
        <v>B</v>
      </c>
      <c r="L19" s="7" t="str">
        <f t="shared" si="2"/>
        <v>Fail</v>
      </c>
      <c r="M19" s="5"/>
      <c r="N19" s="5"/>
      <c r="O19" s="5"/>
    </row>
    <row r="20" spans="1:15" s="4" customFormat="1" x14ac:dyDescent="0.3">
      <c r="A20" s="7">
        <v>119</v>
      </c>
      <c r="B20" s="7" t="s">
        <v>26</v>
      </c>
      <c r="C20" s="7" t="s">
        <v>41</v>
      </c>
      <c r="D20" s="7" t="s">
        <v>38</v>
      </c>
      <c r="E20" s="7">
        <v>82</v>
      </c>
      <c r="F20" s="7">
        <v>17</v>
      </c>
      <c r="G20" s="7">
        <v>28</v>
      </c>
      <c r="H20" s="7">
        <v>35</v>
      </c>
      <c r="I20" s="7">
        <f>SUM(F20:H20)</f>
        <v>80</v>
      </c>
      <c r="J20" s="8">
        <f t="shared" si="0"/>
        <v>0.8</v>
      </c>
      <c r="K20" s="7" t="str">
        <f t="shared" si="1"/>
        <v>B</v>
      </c>
      <c r="L20" s="7" t="str">
        <f t="shared" si="2"/>
        <v>Fail</v>
      </c>
      <c r="M20" s="5"/>
      <c r="N20" s="5"/>
      <c r="O20" s="5"/>
    </row>
    <row r="21" spans="1:15" s="4" customFormat="1" x14ac:dyDescent="0.3">
      <c r="A21" s="7">
        <v>120</v>
      </c>
      <c r="B21" s="7" t="s">
        <v>27</v>
      </c>
      <c r="C21" s="7" t="s">
        <v>43</v>
      </c>
      <c r="D21" s="7" t="s">
        <v>39</v>
      </c>
      <c r="E21" s="7">
        <v>83</v>
      </c>
      <c r="F21" s="7">
        <v>19</v>
      </c>
      <c r="G21" s="7">
        <v>23</v>
      </c>
      <c r="H21" s="7">
        <v>43</v>
      </c>
      <c r="I21" s="7">
        <f>SUM(F21:H21)</f>
        <v>85</v>
      </c>
      <c r="J21" s="8">
        <f t="shared" si="0"/>
        <v>0.85</v>
      </c>
      <c r="K21" s="7" t="str">
        <f t="shared" si="1"/>
        <v>B</v>
      </c>
      <c r="L21" s="7" t="str">
        <f t="shared" si="2"/>
        <v>Fail</v>
      </c>
      <c r="M21" s="5"/>
      <c r="N21" s="5"/>
      <c r="O21" s="5"/>
    </row>
    <row r="22" spans="1:15" s="4" customFormat="1" x14ac:dyDescent="0.3">
      <c r="A22" s="7">
        <v>121</v>
      </c>
      <c r="B22" s="7" t="s">
        <v>28</v>
      </c>
      <c r="C22" s="7" t="s">
        <v>44</v>
      </c>
      <c r="D22" s="7" t="s">
        <v>38</v>
      </c>
      <c r="E22" s="7">
        <v>84</v>
      </c>
      <c r="F22" s="7">
        <v>16</v>
      </c>
      <c r="G22" s="7">
        <v>24</v>
      </c>
      <c r="H22" s="7">
        <v>46</v>
      </c>
      <c r="I22" s="7">
        <f>SUM(F22:H22)</f>
        <v>86</v>
      </c>
      <c r="J22" s="8">
        <f t="shared" si="0"/>
        <v>0.86</v>
      </c>
      <c r="K22" s="7" t="str">
        <f t="shared" si="1"/>
        <v>B</v>
      </c>
      <c r="L22" s="7" t="str">
        <f t="shared" si="2"/>
        <v>Fail</v>
      </c>
      <c r="M22" s="5"/>
      <c r="N22" s="5"/>
      <c r="O22" s="5"/>
    </row>
    <row r="23" spans="1:15" s="4" customFormat="1" x14ac:dyDescent="0.3">
      <c r="A23" s="7">
        <v>122</v>
      </c>
      <c r="B23" s="7" t="s">
        <v>29</v>
      </c>
      <c r="C23" s="7" t="s">
        <v>41</v>
      </c>
      <c r="D23" s="7" t="s">
        <v>39</v>
      </c>
      <c r="E23" s="7">
        <v>85</v>
      </c>
      <c r="F23" s="7">
        <v>18</v>
      </c>
      <c r="G23" s="7">
        <v>26</v>
      </c>
      <c r="H23" s="7">
        <v>48</v>
      </c>
      <c r="I23" s="7">
        <f>SUM(F23:H23)</f>
        <v>92</v>
      </c>
      <c r="J23" s="8">
        <f t="shared" si="0"/>
        <v>0.92</v>
      </c>
      <c r="K23" s="7" t="str">
        <f t="shared" si="1"/>
        <v>A</v>
      </c>
      <c r="L23" s="7" t="str">
        <f t="shared" si="2"/>
        <v>Fail</v>
      </c>
      <c r="M23" s="5"/>
      <c r="N23" s="5"/>
      <c r="O23" s="5"/>
    </row>
    <row r="24" spans="1:15" s="4" customFormat="1" x14ac:dyDescent="0.3">
      <c r="A24" s="7">
        <v>123</v>
      </c>
      <c r="B24" s="7" t="s">
        <v>30</v>
      </c>
      <c r="C24" s="7" t="s">
        <v>42</v>
      </c>
      <c r="D24" s="7" t="s">
        <v>39</v>
      </c>
      <c r="E24" s="7">
        <v>86</v>
      </c>
      <c r="F24" s="7">
        <v>14</v>
      </c>
      <c r="G24" s="7">
        <v>26</v>
      </c>
      <c r="H24" s="7">
        <v>32</v>
      </c>
      <c r="I24" s="7">
        <f>SUM(F24:H24)</f>
        <v>72</v>
      </c>
      <c r="J24" s="8">
        <f t="shared" si="0"/>
        <v>0.72</v>
      </c>
      <c r="K24" s="7" t="str">
        <f t="shared" si="1"/>
        <v>C</v>
      </c>
      <c r="L24" s="7" t="str">
        <f t="shared" si="2"/>
        <v>Fail</v>
      </c>
      <c r="M24" s="5"/>
      <c r="N24" s="5"/>
      <c r="O24" s="5"/>
    </row>
    <row r="25" spans="1:15" s="4" customFormat="1" x14ac:dyDescent="0.3">
      <c r="A25" s="7">
        <v>124</v>
      </c>
      <c r="B25" s="7" t="s">
        <v>31</v>
      </c>
      <c r="C25" s="7" t="s">
        <v>43</v>
      </c>
      <c r="D25" s="7" t="s">
        <v>39</v>
      </c>
      <c r="E25" s="7">
        <v>87</v>
      </c>
      <c r="F25" s="7">
        <v>20</v>
      </c>
      <c r="G25" s="7">
        <v>27</v>
      </c>
      <c r="H25" s="7">
        <v>41</v>
      </c>
      <c r="I25" s="7">
        <f>SUM(F25:H25)</f>
        <v>88</v>
      </c>
      <c r="J25" s="8">
        <f t="shared" si="0"/>
        <v>0.88</v>
      </c>
      <c r="K25" s="7" t="str">
        <f t="shared" si="1"/>
        <v>B</v>
      </c>
      <c r="L25" s="7" t="str">
        <f t="shared" si="2"/>
        <v>Fail</v>
      </c>
      <c r="M25" s="5"/>
      <c r="N25" s="5"/>
      <c r="O25" s="5"/>
    </row>
    <row r="26" spans="1:15" s="4" customFormat="1" x14ac:dyDescent="0.3">
      <c r="A26" s="7">
        <v>125</v>
      </c>
      <c r="B26" s="7" t="s">
        <v>32</v>
      </c>
      <c r="C26" s="7" t="s">
        <v>44</v>
      </c>
      <c r="D26" s="7" t="s">
        <v>38</v>
      </c>
      <c r="E26" s="7">
        <v>88</v>
      </c>
      <c r="F26" s="7">
        <v>17</v>
      </c>
      <c r="G26" s="7">
        <v>28</v>
      </c>
      <c r="H26" s="7">
        <v>43</v>
      </c>
      <c r="I26" s="7">
        <f>SUM(F26:H26)</f>
        <v>88</v>
      </c>
      <c r="J26" s="8">
        <f t="shared" si="0"/>
        <v>0.88</v>
      </c>
      <c r="K26" s="7" t="str">
        <f t="shared" si="1"/>
        <v>B</v>
      </c>
      <c r="L26" s="7" t="str">
        <f t="shared" si="2"/>
        <v>Fail</v>
      </c>
      <c r="M26" s="5"/>
      <c r="N26" s="5"/>
      <c r="O26" s="5"/>
    </row>
    <row r="27" spans="1:15" s="4" customFormat="1" x14ac:dyDescent="0.3">
      <c r="A27" s="7">
        <v>126</v>
      </c>
      <c r="B27" s="7" t="s">
        <v>33</v>
      </c>
      <c r="C27" s="7" t="s">
        <v>41</v>
      </c>
      <c r="D27" s="7" t="s">
        <v>38</v>
      </c>
      <c r="E27" s="7">
        <v>89</v>
      </c>
      <c r="F27" s="7">
        <v>19</v>
      </c>
      <c r="G27" s="7">
        <v>21</v>
      </c>
      <c r="H27" s="7">
        <v>46</v>
      </c>
      <c r="I27" s="7">
        <f>SUM(F27:H27)</f>
        <v>86</v>
      </c>
      <c r="J27" s="8">
        <f t="shared" si="0"/>
        <v>0.86</v>
      </c>
      <c r="K27" s="7" t="str">
        <f t="shared" si="1"/>
        <v>B</v>
      </c>
      <c r="L27" s="7" t="str">
        <f t="shared" si="2"/>
        <v>Fail</v>
      </c>
      <c r="M27" s="5"/>
      <c r="N27" s="5"/>
      <c r="O27" s="5"/>
    </row>
    <row r="28" spans="1:15" s="4" customFormat="1" x14ac:dyDescent="0.3">
      <c r="A28" s="7">
        <v>127</v>
      </c>
      <c r="B28" s="7" t="s">
        <v>34</v>
      </c>
      <c r="C28" s="7" t="s">
        <v>42</v>
      </c>
      <c r="D28" s="7" t="s">
        <v>38</v>
      </c>
      <c r="E28" s="7">
        <v>90</v>
      </c>
      <c r="F28" s="7">
        <v>12</v>
      </c>
      <c r="G28" s="7">
        <v>23</v>
      </c>
      <c r="H28" s="7">
        <v>42</v>
      </c>
      <c r="I28" s="7">
        <f>SUM(F28:H28)</f>
        <v>77</v>
      </c>
      <c r="J28" s="8">
        <f t="shared" si="0"/>
        <v>0.77</v>
      </c>
      <c r="K28" s="7" t="str">
        <f t="shared" si="1"/>
        <v>C</v>
      </c>
      <c r="L28" s="7" t="str">
        <f t="shared" si="2"/>
        <v>Fail</v>
      </c>
      <c r="M28" s="5"/>
      <c r="N28" s="5"/>
      <c r="O28" s="5"/>
    </row>
    <row r="29" spans="1:15" s="4" customFormat="1" x14ac:dyDescent="0.3">
      <c r="A29" s="7">
        <v>128</v>
      </c>
      <c r="B29" s="7" t="s">
        <v>35</v>
      </c>
      <c r="C29" s="7" t="s">
        <v>43</v>
      </c>
      <c r="D29" s="7" t="s">
        <v>38</v>
      </c>
      <c r="E29" s="7">
        <v>91</v>
      </c>
      <c r="F29" s="7">
        <v>18</v>
      </c>
      <c r="G29" s="7">
        <v>24</v>
      </c>
      <c r="H29" s="7">
        <v>36</v>
      </c>
      <c r="I29" s="7">
        <f>SUM(F29:H29)</f>
        <v>78</v>
      </c>
      <c r="J29" s="8">
        <f t="shared" si="0"/>
        <v>0.78</v>
      </c>
      <c r="K29" s="7" t="str">
        <f t="shared" si="1"/>
        <v>C</v>
      </c>
      <c r="L29" s="7" t="str">
        <f t="shared" si="2"/>
        <v>Fail</v>
      </c>
      <c r="M29" s="5"/>
      <c r="N29" s="5"/>
      <c r="O29" s="5"/>
    </row>
    <row r="30" spans="1:15" s="4" customFormat="1" x14ac:dyDescent="0.3">
      <c r="A30" s="7">
        <v>129</v>
      </c>
      <c r="B30" s="7" t="s">
        <v>36</v>
      </c>
      <c r="C30" s="7" t="s">
        <v>42</v>
      </c>
      <c r="D30" s="7" t="s">
        <v>38</v>
      </c>
      <c r="E30" s="7">
        <v>92</v>
      </c>
      <c r="F30" s="7">
        <v>16</v>
      </c>
      <c r="G30" s="7">
        <v>25</v>
      </c>
      <c r="H30" s="7">
        <v>39</v>
      </c>
      <c r="I30" s="7">
        <f>SUM(F30:H30)</f>
        <v>80</v>
      </c>
      <c r="J30" s="8">
        <f t="shared" si="0"/>
        <v>0.8</v>
      </c>
      <c r="K30" s="7" t="str">
        <f t="shared" si="1"/>
        <v>B</v>
      </c>
      <c r="L30" s="7" t="str">
        <f t="shared" si="2"/>
        <v>Fail</v>
      </c>
      <c r="M30" s="5"/>
      <c r="N30" s="5"/>
      <c r="O30" s="5"/>
    </row>
    <row r="31" spans="1:15" s="4" customFormat="1" x14ac:dyDescent="0.3">
      <c r="A31" s="7">
        <v>130</v>
      </c>
      <c r="B31" s="7" t="s">
        <v>37</v>
      </c>
      <c r="C31" s="7" t="s">
        <v>44</v>
      </c>
      <c r="D31" s="7" t="s">
        <v>39</v>
      </c>
      <c r="E31" s="7">
        <v>93</v>
      </c>
      <c r="F31" s="7">
        <v>19</v>
      </c>
      <c r="G31" s="7">
        <v>26</v>
      </c>
      <c r="H31" s="7">
        <v>42</v>
      </c>
      <c r="I31" s="7">
        <f>SUM(F31:H31)</f>
        <v>87</v>
      </c>
      <c r="J31" s="8">
        <f t="shared" si="0"/>
        <v>0.87</v>
      </c>
      <c r="K31" s="7" t="str">
        <f t="shared" si="1"/>
        <v>B</v>
      </c>
      <c r="L31" s="7" t="str">
        <f t="shared" si="2"/>
        <v>Fail</v>
      </c>
      <c r="M31" s="5"/>
      <c r="N31" s="5"/>
      <c r="O31" s="5"/>
    </row>
    <row r="33" s="4" customFormat="1" x14ac:dyDescent="0.3"/>
    <row r="34" s="4" customFormat="1" x14ac:dyDescent="0.3"/>
    <row r="35" s="4" customFormat="1" x14ac:dyDescent="0.3"/>
    <row r="36" s="4" customFormat="1" x14ac:dyDescent="0.3"/>
    <row r="37" s="4" customFormat="1" x14ac:dyDescent="0.3"/>
  </sheetData>
  <conditionalFormatting sqref="J2:J31">
    <cfRule type="cellIs" dxfId="25" priority="1" operator="greaterThan">
      <formula>0.82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Yadav</dc:creator>
  <cp:lastModifiedBy>Deepa Yadav</cp:lastModifiedBy>
  <dcterms:created xsi:type="dcterms:W3CDTF">2026-09-16T10:55:44Z</dcterms:created>
  <dcterms:modified xsi:type="dcterms:W3CDTF">2026-09-18T04:43:49Z</dcterms:modified>
</cp:coreProperties>
</file>