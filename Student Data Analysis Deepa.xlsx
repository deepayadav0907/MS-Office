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2C47161-6885-4A84-B743-EBF20489F500}" xr6:coauthVersionLast="47" xr6:coauthVersionMax="47" xr10:uidLastSave="{00000000-0000-0000-0000-000000000000}"/>
  <bookViews>
    <workbookView xWindow="-120" yWindow="-120" windowWidth="29040" windowHeight="15720" activeTab="1" xr2:uid="{CB32CDB2-1B8A-4597-B55D-40B9BDC361B2}"/>
  </bookViews>
  <sheets>
    <sheet name="Student Data" sheetId="1" r:id="rId1"/>
    <sheet name="Analysis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I4" i="2"/>
  <c r="H4" i="1"/>
  <c r="I4" i="1" s="1"/>
  <c r="H11" i="1"/>
  <c r="I11" i="1" s="1"/>
  <c r="H12" i="1"/>
  <c r="I12" i="1" s="1"/>
  <c r="H5" i="1"/>
  <c r="I5" i="1" s="1"/>
  <c r="H14" i="1"/>
  <c r="I14" i="1" s="1"/>
  <c r="H8" i="1"/>
  <c r="I8" i="1" s="1"/>
  <c r="H15" i="1"/>
  <c r="I15" i="1" s="1"/>
  <c r="H16" i="1"/>
  <c r="I16" i="1" s="1"/>
  <c r="H7" i="1"/>
  <c r="I7" i="1" s="1"/>
  <c r="H10" i="1"/>
  <c r="I10" i="1" s="1"/>
  <c r="H3" i="1"/>
  <c r="I3" i="1" s="1"/>
  <c r="H13" i="1"/>
  <c r="I13" i="1" s="1"/>
  <c r="H17" i="1"/>
  <c r="I17" i="1" s="1"/>
  <c r="G9" i="1"/>
  <c r="G4" i="1"/>
  <c r="G11" i="1"/>
  <c r="G12" i="1"/>
  <c r="G5" i="1"/>
  <c r="G14" i="1"/>
  <c r="G8" i="1"/>
  <c r="G15" i="1"/>
  <c r="G16" i="1"/>
  <c r="G7" i="1"/>
  <c r="G10" i="1"/>
  <c r="G3" i="1"/>
  <c r="G13" i="1"/>
  <c r="G17" i="1"/>
  <c r="G6" i="1"/>
  <c r="H9" i="1"/>
  <c r="I9" i="1" s="1"/>
  <c r="H6" i="1"/>
  <c r="I6" i="1" s="1"/>
</calcChain>
</file>

<file path=xl/sharedStrings.xml><?xml version="1.0" encoding="utf-8"?>
<sst xmlns="http://schemas.openxmlformats.org/spreadsheetml/2006/main" count="31" uniqueCount="31">
  <si>
    <t>Student Name</t>
  </si>
  <si>
    <t>Mathematics</t>
  </si>
  <si>
    <t>Science</t>
  </si>
  <si>
    <t>English</t>
  </si>
  <si>
    <t>Attendance %</t>
  </si>
  <si>
    <t>Average Marks</t>
  </si>
  <si>
    <t>Result</t>
  </si>
  <si>
    <t>Ananya Sharma</t>
  </si>
  <si>
    <t>Priya Singh</t>
  </si>
  <si>
    <t>Neha Verma</t>
  </si>
  <si>
    <t>Riya Gupta</t>
  </si>
  <si>
    <t>Pooja Yadav</t>
  </si>
  <si>
    <t>Sneha Patel</t>
  </si>
  <si>
    <t>Aditi Mishra</t>
  </si>
  <si>
    <t>Simran Khan</t>
  </si>
  <si>
    <t>Komal Singh</t>
  </si>
  <si>
    <t>Nisha Gupta</t>
  </si>
  <si>
    <t>Kajal Sharma</t>
  </si>
  <si>
    <t>Muskan Verma</t>
  </si>
  <si>
    <t>Shreya Kumari</t>
  </si>
  <si>
    <t>Tanya Singh</t>
  </si>
  <si>
    <t>Isha Tiwari</t>
  </si>
  <si>
    <t>Computer science</t>
  </si>
  <si>
    <t>Total  marks</t>
  </si>
  <si>
    <t>Student Performance Analysis</t>
  </si>
  <si>
    <t>Highest Total</t>
  </si>
  <si>
    <t>Lowest Total</t>
  </si>
  <si>
    <t>Class Average</t>
  </si>
  <si>
    <t>Student Performance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</si>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</sst>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Book Antiqua"/>
      <family val="1"/>
    </font>
    <font>
      <b/>
      <sz val="18"/>
      <color theme="1"/>
      <name val="Book Antiqua"/>
      <family val="1"/>
    </font>
    <font>
      <b/>
      <sz val="12"/>
      <color theme="1"/>
      <name val="Book Antiqua"/>
      <family val="1"/>
    </font>
    <font>
      <sz val="9"/>
      <color theme="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25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fill>
        <patternFill patternType="solid">
          <fgColor indexed="64"/>
          <bgColor theme="8" tint="-0.49998474074526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Book Antiqua"/>
        <family val="1"/>
        <scheme val="none"/>
      </font>
      <alignment horizontal="center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Student Name &amp; Total Marks Charts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'Student Data'!$A$3:$A$17</c:f>
              <c:strCache>
                <c:ptCount val="15"/>
                <c:pt idx="0">
                  <c:v>Shreya Kumari</c:v>
                </c:pt>
                <c:pt idx="1">
                  <c:v>Neha Verma</c:v>
                </c:pt>
                <c:pt idx="2">
                  <c:v>Sneha Patel</c:v>
                </c:pt>
                <c:pt idx="3">
                  <c:v>Ananya Sharma</c:v>
                </c:pt>
                <c:pt idx="4">
                  <c:v>Kajal Sharma</c:v>
                </c:pt>
                <c:pt idx="5">
                  <c:v>Simran Khan</c:v>
                </c:pt>
                <c:pt idx="6">
                  <c:v>Priya Singh</c:v>
                </c:pt>
                <c:pt idx="7">
                  <c:v>Muskan Verma</c:v>
                </c:pt>
                <c:pt idx="8">
                  <c:v>Riya Gupta</c:v>
                </c:pt>
                <c:pt idx="9">
                  <c:v>Pooja Yadav</c:v>
                </c:pt>
                <c:pt idx="10">
                  <c:v>Tanya Singh</c:v>
                </c:pt>
                <c:pt idx="11">
                  <c:v>Aditi Mishra</c:v>
                </c:pt>
                <c:pt idx="12">
                  <c:v>Komal Singh</c:v>
                </c:pt>
                <c:pt idx="13">
                  <c:v>Nisha Gupta</c:v>
                </c:pt>
                <c:pt idx="14">
                  <c:v>Isha Tiwari</c:v>
                </c:pt>
              </c:strCache>
            </c:strRef>
          </c:cat>
          <c:val>
            <c:numRef>
              <c:f>'Student Data'!$G$3:$G$17</c:f>
              <c:numCache>
                <c:formatCode>General</c:formatCode>
                <c:ptCount val="15"/>
                <c:pt idx="0">
                  <c:v>374</c:v>
                </c:pt>
                <c:pt idx="1">
                  <c:v>366</c:v>
                </c:pt>
                <c:pt idx="2">
                  <c:v>349</c:v>
                </c:pt>
                <c:pt idx="3">
                  <c:v>335</c:v>
                </c:pt>
                <c:pt idx="4">
                  <c:v>334</c:v>
                </c:pt>
                <c:pt idx="5">
                  <c:v>320</c:v>
                </c:pt>
                <c:pt idx="6">
                  <c:v>295</c:v>
                </c:pt>
                <c:pt idx="7">
                  <c:v>284</c:v>
                </c:pt>
                <c:pt idx="8">
                  <c:v>275</c:v>
                </c:pt>
                <c:pt idx="9">
                  <c:v>235</c:v>
                </c:pt>
                <c:pt idx="10">
                  <c:v>215</c:v>
                </c:pt>
                <c:pt idx="11">
                  <c:v>195</c:v>
                </c:pt>
                <c:pt idx="12">
                  <c:v>165</c:v>
                </c:pt>
                <c:pt idx="13">
                  <c:v>125</c:v>
                </c:pt>
                <c:pt idx="14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BE-43F5-A4BA-C8240569E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16490608"/>
        <c:axId val="704446608"/>
      </c:barChart>
      <c:catAx>
        <c:axId val="1016490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446608"/>
        <c:crosses val="autoZero"/>
        <c:auto val="1"/>
        <c:lblAlgn val="ctr"/>
        <c:lblOffset val="100"/>
        <c:noMultiLvlLbl val="0"/>
      </c:catAx>
      <c:valAx>
        <c:axId val="70444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490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7</xdr:row>
      <xdr:rowOff>28575</xdr:rowOff>
    </xdr:from>
    <xdr:to>
      <xdr:col>10</xdr:col>
      <xdr:colOff>466725</xdr:colOff>
      <xdr:row>25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047D8-8FB2-49A0-8888-604BD0748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%20Data%2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G2">
            <v>335</v>
          </cell>
        </row>
        <row r="3">
          <cell r="G3">
            <v>295</v>
          </cell>
        </row>
        <row r="4">
          <cell r="G4">
            <v>366</v>
          </cell>
        </row>
        <row r="5">
          <cell r="G5">
            <v>275</v>
          </cell>
        </row>
        <row r="6">
          <cell r="G6">
            <v>235</v>
          </cell>
        </row>
        <row r="7">
          <cell r="G7">
            <v>349</v>
          </cell>
        </row>
        <row r="8">
          <cell r="G8">
            <v>195</v>
          </cell>
        </row>
        <row r="9">
          <cell r="G9">
            <v>320</v>
          </cell>
        </row>
        <row r="10">
          <cell r="G10">
            <v>165</v>
          </cell>
        </row>
        <row r="11">
          <cell r="G11">
            <v>125</v>
          </cell>
        </row>
        <row r="12">
          <cell r="G12">
            <v>334</v>
          </cell>
        </row>
        <row r="13">
          <cell r="G13">
            <v>284</v>
          </cell>
        </row>
        <row r="14">
          <cell r="G14">
            <v>374</v>
          </cell>
        </row>
        <row r="15">
          <cell r="G15">
            <v>215</v>
          </cell>
        </row>
        <row r="16">
          <cell r="G16">
            <v>120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tudent Data"/>
    </sheetNames>
    <sheetDataSet>
      <sheetData sheetId="0">
        <row r="2">
          <cell r="G2">
            <v>335</v>
          </cell>
          <cell r="H2">
            <v>83.75</v>
          </cell>
        </row>
        <row r="3">
          <cell r="G3">
            <v>295</v>
          </cell>
          <cell r="H3">
            <v>73.75</v>
          </cell>
        </row>
        <row r="4">
          <cell r="G4">
            <v>366</v>
          </cell>
          <cell r="H4">
            <v>91.5</v>
          </cell>
        </row>
        <row r="5">
          <cell r="G5">
            <v>275</v>
          </cell>
          <cell r="H5">
            <v>68.75</v>
          </cell>
        </row>
        <row r="6">
          <cell r="G6">
            <v>235</v>
          </cell>
          <cell r="H6">
            <v>58.75</v>
          </cell>
        </row>
        <row r="7">
          <cell r="G7">
            <v>349</v>
          </cell>
          <cell r="H7">
            <v>87.25</v>
          </cell>
        </row>
        <row r="8">
          <cell r="G8">
            <v>195</v>
          </cell>
          <cell r="H8">
            <v>48.75</v>
          </cell>
        </row>
        <row r="9">
          <cell r="G9">
            <v>320</v>
          </cell>
          <cell r="H9">
            <v>80</v>
          </cell>
        </row>
        <row r="10">
          <cell r="G10">
            <v>165</v>
          </cell>
          <cell r="H10">
            <v>41.25</v>
          </cell>
        </row>
        <row r="11">
          <cell r="G11">
            <v>125</v>
          </cell>
          <cell r="H11">
            <v>31.25</v>
          </cell>
        </row>
        <row r="12">
          <cell r="G12">
            <v>334</v>
          </cell>
          <cell r="H12">
            <v>83.5</v>
          </cell>
        </row>
        <row r="13">
          <cell r="G13">
            <v>284</v>
          </cell>
          <cell r="H13">
            <v>71</v>
          </cell>
        </row>
        <row r="14">
          <cell r="G14">
            <v>374</v>
          </cell>
          <cell r="H14">
            <v>93.5</v>
          </cell>
        </row>
        <row r="15">
          <cell r="G15">
            <v>215</v>
          </cell>
          <cell r="H15">
            <v>53.75</v>
          </cell>
        </row>
        <row r="16">
          <cell r="G16">
            <v>120</v>
          </cell>
          <cell r="H16">
            <v>30</v>
          </cell>
        </row>
      </sheetData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D3A523-C88C-4F5D-B9B1-C8C64F84A24E}" name="Table1" displayName="Table1" ref="A2:I17" totalsRowShown="0" headerRowDxfId="9" dataDxfId="8">
  <autoFilter ref="A2:I17" xr:uid="{82D3A523-C88C-4F5D-B9B1-C8C64F84A24E}"/>
  <sortState xmlns:xlrd2="http://schemas.microsoft.com/office/spreadsheetml/2017/richdata2" ref="A3:I17">
    <sortCondition descending="1" ref="G3:G17"/>
  </sortState>
  <tableColumns count="9">
    <tableColumn id="1" xr3:uid="{224380F9-F967-4139-B18F-3DF25549EF3F}" name="Student Name" dataDxfId="18"/>
    <tableColumn id="2" xr3:uid="{51476ABC-5659-4754-BE18-054F50CECFB7}" name="Mathematics" dataDxfId="17"/>
    <tableColumn id="3" xr3:uid="{A0745889-084F-42BD-A4B4-B38D78CE4E87}" name="Science" dataDxfId="16"/>
    <tableColumn id="4" xr3:uid="{18A96EB6-C489-44A6-B20B-D056AA066141}" name="English" dataDxfId="15"/>
    <tableColumn id="5" xr3:uid="{FFCB42A1-1319-4A5B-9744-A339832DD786}" name="Computer science" dataDxfId="14"/>
    <tableColumn id="6" xr3:uid="{04980E26-B8C2-4D61-B6D2-2CDC89F926D3}" name="Attendance %" dataDxfId="13"/>
    <tableColumn id="7" xr3:uid="{660BBE55-5A20-42F0-954D-51DCA35D55B9}" name="Total  marks" dataDxfId="12">
      <calculatedColumnFormula>SUM(B3:E3)</calculatedColumnFormula>
    </tableColumn>
    <tableColumn id="8" xr3:uid="{6CA24A2E-6532-4D2D-A240-D9B0E929A6EB}" name="Average Marks" dataDxfId="11">
      <calculatedColumnFormula>AVERAGE(B3:E3)</calculatedColumnFormula>
    </tableColumn>
    <tableColumn id="9" xr3:uid="{BA5BA243-FBF9-4632-A7F2-1D0770F2BA7D}" name="Result" dataDxfId="10">
      <calculatedColumnFormula>IF(H3&gt;=40,"Pass", "Fail")</calculatedColumnFormula>
    </tableColumn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DB3EC5-E640-49CA-90C7-48E837359B74}" name="Table3" displayName="Table3" ref="H3:I6" totalsRowShown="0" headerRowDxfId="4" dataDxfId="5">
  <autoFilter ref="H3:I6" xr:uid="{81DB3EC5-E640-49CA-90C7-48E837359B74}"/>
  <tableColumns count="2">
    <tableColumn id="1" xr3:uid="{42F57A17-08A2-4239-80AD-E865DF008455}" name="Column1" dataDxfId="7"/>
    <tableColumn id="2" xr3:uid="{589D4B66-7AFB-4EE1-A935-74F198320DF7}" name="Column2" dataDxfId="6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6FF7-EE8D-48C7-A63D-9C806DD665CC}">
  <dimension ref="A1:L17"/>
  <sheetViews>
    <sheetView workbookViewId="0">
      <selection activeCell="K4" sqref="K4"/>
    </sheetView>
  </sheetViews>
  <sheetFormatPr defaultRowHeight="16.5" x14ac:dyDescent="0.3"/>
  <cols>
    <col min="1" max="1" width="18" style="1" customWidth="1"/>
    <col min="2" max="2" width="15.42578125" style="1" customWidth="1"/>
    <col min="3" max="3" width="13.7109375" style="1" customWidth="1"/>
    <col min="4" max="4" width="11.7109375" style="1" customWidth="1"/>
    <col min="5" max="5" width="20.140625" style="1" customWidth="1"/>
    <col min="6" max="6" width="16.85546875" style="1" customWidth="1"/>
    <col min="7" max="7" width="14.42578125" style="1" customWidth="1"/>
    <col min="8" max="8" width="16.7109375" style="1" customWidth="1"/>
    <col min="9" max="9" width="13.85546875" style="1" customWidth="1"/>
    <col min="10" max="16384" width="9.140625" style="1"/>
  </cols>
  <sheetData>
    <row r="1" spans="1:12" ht="23.25" x14ac:dyDescent="0.35">
      <c r="A1" s="2" t="s">
        <v>28</v>
      </c>
      <c r="B1" s="3"/>
      <c r="C1" s="3"/>
      <c r="D1" s="3"/>
      <c r="E1" s="3"/>
      <c r="F1" s="3"/>
      <c r="G1" s="3"/>
      <c r="H1" s="3"/>
      <c r="I1" s="3"/>
    </row>
    <row r="2" spans="1:12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22</v>
      </c>
      <c r="F2" s="4" t="s">
        <v>4</v>
      </c>
      <c r="G2" s="4" t="s">
        <v>23</v>
      </c>
      <c r="H2" s="4" t="s">
        <v>5</v>
      </c>
      <c r="I2" s="4" t="s">
        <v>6</v>
      </c>
    </row>
    <row r="3" spans="1:12" x14ac:dyDescent="0.3">
      <c r="A3" s="1" t="s">
        <v>19</v>
      </c>
      <c r="B3" s="1">
        <v>93</v>
      </c>
      <c r="C3" s="1">
        <v>95</v>
      </c>
      <c r="D3" s="1">
        <v>90</v>
      </c>
      <c r="E3" s="1">
        <v>96</v>
      </c>
      <c r="F3" s="5">
        <v>0.98</v>
      </c>
      <c r="G3" s="1">
        <f>SUM(B3:E3)</f>
        <v>374</v>
      </c>
      <c r="H3" s="1">
        <f>AVERAGE(B3:E3)</f>
        <v>93.5</v>
      </c>
      <c r="I3" s="1" t="str">
        <f>IF(H3&gt;=40,"Pass", "Fail")</f>
        <v>Pass</v>
      </c>
    </row>
    <row r="4" spans="1:12" x14ac:dyDescent="0.3">
      <c r="A4" s="1" t="s">
        <v>9</v>
      </c>
      <c r="B4" s="1">
        <v>91</v>
      </c>
      <c r="C4" s="1">
        <v>89</v>
      </c>
      <c r="D4" s="1">
        <v>94</v>
      </c>
      <c r="E4" s="1">
        <v>92</v>
      </c>
      <c r="F4" s="5">
        <v>0.97</v>
      </c>
      <c r="G4" s="1">
        <f>SUM(B4:E4)</f>
        <v>366</v>
      </c>
      <c r="H4" s="1">
        <f>AVERAGE(B4:E4)</f>
        <v>91.5</v>
      </c>
      <c r="I4" s="1" t="str">
        <f>IF(H4&gt;=40,"Pass", "Fail")</f>
        <v>Pass</v>
      </c>
    </row>
    <row r="5" spans="1:12" x14ac:dyDescent="0.3">
      <c r="A5" s="1" t="s">
        <v>12</v>
      </c>
      <c r="B5" s="1">
        <v>88</v>
      </c>
      <c r="C5" s="1">
        <v>84</v>
      </c>
      <c r="D5" s="1">
        <v>86</v>
      </c>
      <c r="E5" s="1">
        <v>91</v>
      </c>
      <c r="F5" s="5">
        <v>0.93</v>
      </c>
      <c r="G5" s="1">
        <f>SUM(B5:E5)</f>
        <v>349</v>
      </c>
      <c r="H5" s="1">
        <f>AVERAGE(B5:E5)</f>
        <v>87.25</v>
      </c>
      <c r="I5" s="1" t="str">
        <f>IF(H5&gt;=40,"Pass", "Fail")</f>
        <v>Pass</v>
      </c>
      <c r="L5" s="6"/>
    </row>
    <row r="6" spans="1:12" x14ac:dyDescent="0.3">
      <c r="A6" s="1" t="s">
        <v>7</v>
      </c>
      <c r="B6" s="1">
        <v>85</v>
      </c>
      <c r="C6" s="1">
        <v>78</v>
      </c>
      <c r="D6" s="1">
        <v>82</v>
      </c>
      <c r="E6" s="1">
        <v>90</v>
      </c>
      <c r="F6" s="5">
        <v>0.95</v>
      </c>
      <c r="G6" s="1">
        <f>SUM(B6:E6)</f>
        <v>335</v>
      </c>
      <c r="H6" s="1">
        <f>AVERAGE(B6:E6)</f>
        <v>83.75</v>
      </c>
      <c r="I6" s="1" t="str">
        <f>IF(H6&gt;=40,"Pass", "Fail")</f>
        <v>Pass</v>
      </c>
    </row>
    <row r="7" spans="1:12" x14ac:dyDescent="0.3">
      <c r="A7" s="1" t="s">
        <v>17</v>
      </c>
      <c r="B7" s="1">
        <v>82</v>
      </c>
      <c r="C7" s="1">
        <v>79</v>
      </c>
      <c r="D7" s="1">
        <v>85</v>
      </c>
      <c r="E7" s="1">
        <v>88</v>
      </c>
      <c r="F7" s="5">
        <v>0.94</v>
      </c>
      <c r="G7" s="1">
        <f>SUM(B7:E7)</f>
        <v>334</v>
      </c>
      <c r="H7" s="1">
        <f>AVERAGE(B7:E7)</f>
        <v>83.5</v>
      </c>
      <c r="I7" s="1" t="str">
        <f>IF(H7&gt;=40,"Pass", "Fail")</f>
        <v>Pass</v>
      </c>
    </row>
    <row r="8" spans="1:12" x14ac:dyDescent="0.3">
      <c r="A8" s="1" t="s">
        <v>14</v>
      </c>
      <c r="B8" s="1">
        <v>78</v>
      </c>
      <c r="C8" s="1">
        <v>81</v>
      </c>
      <c r="D8" s="1">
        <v>76</v>
      </c>
      <c r="E8" s="1">
        <v>85</v>
      </c>
      <c r="F8" s="5">
        <v>0.9</v>
      </c>
      <c r="G8" s="1">
        <f>SUM(B8:E8)</f>
        <v>320</v>
      </c>
      <c r="H8" s="1">
        <f>AVERAGE(B8:E8)</f>
        <v>80</v>
      </c>
      <c r="I8" s="1" t="str">
        <f>IF(H8&gt;=40,"Pass", "Fail")</f>
        <v>Pass</v>
      </c>
    </row>
    <row r="9" spans="1:12" x14ac:dyDescent="0.3">
      <c r="A9" s="1" t="s">
        <v>8</v>
      </c>
      <c r="B9" s="1">
        <v>72</v>
      </c>
      <c r="C9" s="1">
        <v>68</v>
      </c>
      <c r="D9" s="1">
        <v>75</v>
      </c>
      <c r="E9" s="1">
        <v>80</v>
      </c>
      <c r="F9" s="5">
        <v>0.88</v>
      </c>
      <c r="G9" s="1">
        <f>SUM(B9:E9)</f>
        <v>295</v>
      </c>
      <c r="H9" s="1">
        <f>AVERAGE(B9:E9)</f>
        <v>73.75</v>
      </c>
      <c r="I9" s="1" t="str">
        <f>IF(H9&gt;=40,"Pass", "Fail")</f>
        <v>Pass</v>
      </c>
    </row>
    <row r="10" spans="1:12" x14ac:dyDescent="0.3">
      <c r="A10" s="1" t="s">
        <v>18</v>
      </c>
      <c r="B10" s="1">
        <v>67</v>
      </c>
      <c r="C10" s="1">
        <v>73</v>
      </c>
      <c r="D10" s="1">
        <v>69</v>
      </c>
      <c r="E10" s="1">
        <v>75</v>
      </c>
      <c r="F10" s="5">
        <v>0.85</v>
      </c>
      <c r="G10" s="1">
        <f>SUM(B10:E10)</f>
        <v>284</v>
      </c>
      <c r="H10" s="1">
        <f>AVERAGE(B10:E10)</f>
        <v>71</v>
      </c>
      <c r="I10" s="1" t="str">
        <f>IF(H10&gt;=40,"Pass", "Fail")</f>
        <v>Pass</v>
      </c>
    </row>
    <row r="11" spans="1:12" x14ac:dyDescent="0.3">
      <c r="A11" s="1" t="s">
        <v>10</v>
      </c>
      <c r="B11" s="1">
        <v>65</v>
      </c>
      <c r="C11" s="1">
        <v>72</v>
      </c>
      <c r="D11" s="1">
        <v>68</v>
      </c>
      <c r="E11" s="1">
        <v>70</v>
      </c>
      <c r="F11" s="5">
        <v>0.82</v>
      </c>
      <c r="G11" s="1">
        <f>SUM(B11:E11)</f>
        <v>275</v>
      </c>
      <c r="H11" s="1">
        <f>AVERAGE(B11:E11)</f>
        <v>68.75</v>
      </c>
      <c r="I11" s="1" t="str">
        <f>IF(H11&gt;=40,"Pass", "Fail")</f>
        <v>Pass</v>
      </c>
    </row>
    <row r="12" spans="1:12" x14ac:dyDescent="0.3">
      <c r="A12" s="1" t="s">
        <v>11</v>
      </c>
      <c r="B12" s="1">
        <v>55</v>
      </c>
      <c r="C12" s="1">
        <v>60</v>
      </c>
      <c r="D12" s="1">
        <v>58</v>
      </c>
      <c r="E12" s="1">
        <v>62</v>
      </c>
      <c r="F12" s="5">
        <v>0.76</v>
      </c>
      <c r="G12" s="1">
        <f>SUM(B12:E12)</f>
        <v>235</v>
      </c>
      <c r="H12" s="1">
        <f>AVERAGE(B12:E12)</f>
        <v>58.75</v>
      </c>
      <c r="I12" s="1" t="str">
        <f>IF(H12&gt;=40,"Pass", "Fail")</f>
        <v>Pass</v>
      </c>
    </row>
    <row r="13" spans="1:12" x14ac:dyDescent="0.3">
      <c r="A13" s="1" t="s">
        <v>20</v>
      </c>
      <c r="B13" s="1">
        <v>52</v>
      </c>
      <c r="C13" s="1">
        <v>48</v>
      </c>
      <c r="D13" s="1">
        <v>55</v>
      </c>
      <c r="E13" s="1">
        <v>60</v>
      </c>
      <c r="F13" s="5">
        <v>0.74</v>
      </c>
      <c r="G13" s="1">
        <f>SUM(B13:E13)</f>
        <v>215</v>
      </c>
      <c r="H13" s="1">
        <f>AVERAGE(B13:E13)</f>
        <v>53.75</v>
      </c>
      <c r="I13" s="1" t="str">
        <f>IF(H13&gt;=40,"Pass", "Fail")</f>
        <v>Pass</v>
      </c>
    </row>
    <row r="14" spans="1:12" x14ac:dyDescent="0.3">
      <c r="A14" s="1" t="s">
        <v>13</v>
      </c>
      <c r="B14" s="1">
        <v>45</v>
      </c>
      <c r="C14" s="1">
        <v>52</v>
      </c>
      <c r="D14" s="1">
        <v>48</v>
      </c>
      <c r="E14" s="1">
        <v>50</v>
      </c>
      <c r="F14" s="5">
        <v>0.71</v>
      </c>
      <c r="G14" s="1">
        <f>SUM(B14:E14)</f>
        <v>195</v>
      </c>
      <c r="H14" s="1">
        <f>AVERAGE(B14:E14)</f>
        <v>48.75</v>
      </c>
      <c r="I14" s="1" t="str">
        <f>IF(H14&gt;=40,"Pass", "Fail")</f>
        <v>Pass</v>
      </c>
    </row>
    <row r="15" spans="1:12" x14ac:dyDescent="0.3">
      <c r="A15" s="1" t="s">
        <v>15</v>
      </c>
      <c r="B15" s="1">
        <v>38</v>
      </c>
      <c r="C15" s="1">
        <v>42</v>
      </c>
      <c r="D15" s="1">
        <v>45</v>
      </c>
      <c r="E15" s="1">
        <v>40</v>
      </c>
      <c r="F15" s="5">
        <v>0.68</v>
      </c>
      <c r="G15" s="1">
        <f>SUM(B15:E15)</f>
        <v>165</v>
      </c>
      <c r="H15" s="1">
        <f>AVERAGE(B15:E15)</f>
        <v>41.25</v>
      </c>
      <c r="I15" s="1" t="str">
        <f>IF(H15&gt;=40,"Pass", "Fail")</f>
        <v>Pass</v>
      </c>
    </row>
    <row r="16" spans="1:12" x14ac:dyDescent="0.3">
      <c r="A16" s="1" t="s">
        <v>16</v>
      </c>
      <c r="B16" s="1">
        <v>30</v>
      </c>
      <c r="C16" s="1">
        <v>35</v>
      </c>
      <c r="D16" s="1">
        <v>32</v>
      </c>
      <c r="E16" s="1">
        <v>28</v>
      </c>
      <c r="F16" s="5">
        <v>0.62</v>
      </c>
      <c r="G16" s="1">
        <f>SUM(B16:E16)</f>
        <v>125</v>
      </c>
      <c r="H16" s="1">
        <f>AVERAGE(B16:E16)</f>
        <v>31.25</v>
      </c>
      <c r="I16" s="1" t="str">
        <f>IF(H16&gt;=40,"Pass", "Fail")</f>
        <v>Fail</v>
      </c>
    </row>
    <row r="17" spans="1:9" x14ac:dyDescent="0.3">
      <c r="A17" s="1" t="s">
        <v>21</v>
      </c>
      <c r="B17" s="1">
        <v>25</v>
      </c>
      <c r="C17" s="1">
        <v>32</v>
      </c>
      <c r="D17" s="1">
        <v>28</v>
      </c>
      <c r="E17" s="1">
        <v>35</v>
      </c>
      <c r="F17" s="5">
        <v>0.59</v>
      </c>
      <c r="G17" s="1">
        <f>SUM(B17:E17)</f>
        <v>120</v>
      </c>
      <c r="H17" s="1">
        <f>AVERAGE(B17:E17)</f>
        <v>30</v>
      </c>
      <c r="I17" s="1" t="str">
        <f>IF(H17&gt;=40,"Pass", "Fail")</f>
        <v>Fail</v>
      </c>
    </row>
  </sheetData>
  <mergeCells count="1">
    <mergeCell ref="A1:I1"/>
  </mergeCells>
  <conditionalFormatting sqref="H3:H17">
    <cfRule type="cellIs" dxfId="3" priority="1" operator="greaterThan">
      <formula>75</formula>
    </cfRule>
    <cfRule type="cellIs" dxfId="2" priority="4" operator="greaterThan">
      <formula>75</formula>
    </cfRule>
  </conditionalFormatting>
  <conditionalFormatting sqref="I3:I17">
    <cfRule type="cellIs" dxfId="1" priority="2" operator="lessThan">
      <formula>"Pass"</formula>
    </cfRule>
    <cfRule type="cellIs" dxfId="0" priority="3" operator="greaterThan">
      <formula>"pass"</formula>
    </cfRule>
  </conditionalFormatting>
  <pageMargins left="0.7" right="0.7" top="0.75" bottom="0.75" header="0.3" footer="0.3"/>
  <pageSetup orientation="portrait" r:id="rId1"/>
  <ignoredErrors>
    <ignoredError sqref="G3:G17 H3:H17" formulaRange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C68F-038B-47AF-8974-D011236C9F80}">
  <dimension ref="H2:I6"/>
  <sheetViews>
    <sheetView tabSelected="1" workbookViewId="0">
      <selection activeCell="N6" sqref="N6"/>
    </sheetView>
  </sheetViews>
  <sheetFormatPr defaultRowHeight="15" x14ac:dyDescent="0.25"/>
  <cols>
    <col min="1" max="1" width="10.5703125" customWidth="1"/>
    <col min="2" max="2" width="13" customWidth="1"/>
    <col min="8" max="8" width="23.85546875" customWidth="1"/>
    <col min="9" max="9" width="29.5703125" customWidth="1"/>
  </cols>
  <sheetData>
    <row r="2" spans="8:9" ht="21" x14ac:dyDescent="0.35">
      <c r="H2" s="7" t="s">
        <v>24</v>
      </c>
      <c r="I2" s="7"/>
    </row>
    <row r="3" spans="8:9" ht="16.5" x14ac:dyDescent="0.3">
      <c r="H3" s="1" t="s">
        <v>29</v>
      </c>
      <c r="I3" s="1" t="s">
        <v>30</v>
      </c>
    </row>
    <row r="4" spans="8:9" ht="16.5" x14ac:dyDescent="0.3">
      <c r="H4" s="1" t="s">
        <v>25</v>
      </c>
      <c r="I4" s="1">
        <f>MAX( [1]Sheet1!G2:G16)</f>
        <v>374</v>
      </c>
    </row>
    <row r="5" spans="8:9" ht="16.5" x14ac:dyDescent="0.3">
      <c r="H5" s="1" t="s">
        <v>26</v>
      </c>
      <c r="I5" s="1">
        <f>MIN([2]Sheet1!G2:G16)</f>
        <v>120</v>
      </c>
    </row>
    <row r="6" spans="8:9" ht="16.5" x14ac:dyDescent="0.3">
      <c r="H6" s="1" t="s">
        <v>27</v>
      </c>
      <c r="I6" s="1">
        <f>AVERAGE([2]Sheet1!H2:H16)</f>
        <v>66.45</v>
      </c>
    </row>
  </sheetData>
  <mergeCells count="1">
    <mergeCell ref="H2:I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Yadav</dc:creator>
  <cp:lastModifiedBy>Deepa Yadav</cp:lastModifiedBy>
  <dcterms:created xsi:type="dcterms:W3CDTF">2026-09-29T06:22:25Z</dcterms:created>
  <dcterms:modified xsi:type="dcterms:W3CDTF">2026-09-29T07:22:21Z</dcterms:modified>
</cp:coreProperties>
</file>